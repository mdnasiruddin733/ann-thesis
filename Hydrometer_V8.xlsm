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24754926-2CE6-4C55-8817-9EB07E671458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put-output" sheetId="33" r:id="rId1"/>
    <sheet name="output-table" sheetId="34" r:id="rId2"/>
    <sheet name="Sheet1" sheetId="35" r:id="rId3"/>
    <sheet name="main" sheetId="30" state="hidden" r:id="rId4"/>
    <sheet name="Some Calculations" sheetId="32" state="hidden" r:id="rId5"/>
    <sheet name="Report" sheetId="31" r:id="rId6"/>
  </sheets>
  <externalReferences>
    <externalReference r:id="rId7"/>
  </externalReferences>
  <definedNames>
    <definedName name="Agrad" localSheetId="3">main!$U$28</definedName>
    <definedName name="Agrad" localSheetId="5">Report!#REF!</definedName>
    <definedName name="Agrad">#REF!</definedName>
    <definedName name="GS" localSheetId="3">main!$E$70</definedName>
    <definedName name="GS" localSheetId="5">Report!#REF!</definedName>
    <definedName name="GS">#REF!</definedName>
    <definedName name="Ltwo" localSheetId="3">main!$P$28</definedName>
    <definedName name="Ltwo" localSheetId="5">Report!#REF!</definedName>
    <definedName name="Ltwo">#REF!</definedName>
    <definedName name="_xlnm.Print_Area" localSheetId="3">main!$A$1:$I$50</definedName>
    <definedName name="_xlnm.Print_Area" localSheetId="5">Report!$A$1:$Q$55</definedName>
    <definedName name="Vb" localSheetId="3">main!$Q$29</definedName>
    <definedName name="Vb" localSheetId="5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33" l="1"/>
  <c r="N27" i="33"/>
  <c r="D28" i="33"/>
  <c r="G28" i="33"/>
  <c r="H28" i="33" l="1"/>
  <c r="E28" i="33"/>
  <c r="E29" i="33"/>
  <c r="E30" i="33" l="1"/>
  <c r="F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D16" i="33"/>
  <c r="D17" i="33"/>
  <c r="D18" i="33"/>
  <c r="D19" i="33"/>
  <c r="E16" i="33"/>
  <c r="O28" i="33"/>
  <c r="N28" i="33"/>
  <c r="M28" i="33"/>
  <c r="O27" i="33"/>
  <c r="H29" i="33"/>
  <c r="G29" i="33"/>
  <c r="F29" i="33"/>
  <c r="D29" i="33"/>
  <c r="E19" i="33" l="1"/>
  <c r="E18" i="33"/>
  <c r="E17" i="33"/>
  <c r="D30" i="33"/>
  <c r="O29" i="33"/>
  <c r="F30" i="33"/>
  <c r="H30" i="33"/>
  <c r="M29" i="33"/>
  <c r="G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<sst xmlns="http://schemas.openxmlformats.org/spreadsheetml/2006/main" count="597" uniqueCount="246">
  <si>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</si>
  <si>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</si>
  <si>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</si>
  <si>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</si>
  <si>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</si>
  <si>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</si>
  <si>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</si>
  <si>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</si>
  <si>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</si>
  <si>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</si>
  <si>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</si>
  <si>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</si>
  <si>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</si>
  <si>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</si>
  <si>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</si>
  <si>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</si>
  <si>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</si>
  <si>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</si>
  <si>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</si>
  <si>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</si>
  <si>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</si>
  <si>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</si>
  <si>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</si>
  <si>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</si>
  <si>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</si>
  <si>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</si>
  <si>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</si>
  <si>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</si>
  <si>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</si>
  <si>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</si>
  <si>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</si>
  <si>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</si>
  <si>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</si>
  <si>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</si>
  <si>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</si>
  <si>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</si>
  <si>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</si>
  <si>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</si>
  <si>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</si>
  <si>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</si>
  <si>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</si>
  <si>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</si>
  <si>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</si>
  <si>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</si>
  <si>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</si>
  <si>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</si>
  <si>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</si>
  <si>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</si>
  <si>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</si>
  <si>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</si>
  <si>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</si>
  <si>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</si>
  <si>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</si>
  <si>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</si>
  <si>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</si>
  <si>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</si>
  <si>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</si>
  <si>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</si>
  <si>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</si>
  <si>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</si>
  <si>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</si>
  <si>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</si>
  <si>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</si>
  <si>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</si>
  <si>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</si>
  <si>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</si>
  <si>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</si>
  <si>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</si>
  <si>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</si>
  <si>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</si>
  <si>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</si>
  <si>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</si>
  <si>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</si>
  <si>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</si>
  <si>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</si>
  <si>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</si>
  <si>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</si>
  <si>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</si>
  <si>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</si>
  <si>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</si>
  <si>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</si>
  <si>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</si>
  <si>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</si>
  <si>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</si>
  <si>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</si>
  <si>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</si>
  <si>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</si>
  <si>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</si>
  <si>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</si>
  <si>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</si>
  <si>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</si>
  <si>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</si>
  <si>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</si>
  <si>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</si>
  <si>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</si>
  <si>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</si>
  <si>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</si>
  <si>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</si>
  <si>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</si>
  <si>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</si>
  <si>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</si>
  <si>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</si>
  <si>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</si>
  <si>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</si>
  <si>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</si>
  <si>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</si>
  <si>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</si>
  <si>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</si>
  <si>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</si>
  <si>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</si>
  <si>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</si>
  <si>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</si>
  <si>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</si>
  <si>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</si>
  <si>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</si>
  <si>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</si>
  <si>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</si>
  <si>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</si>
  <si>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</si>
  <si>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</si>
  <si>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</si>
  <si>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</si>
  <si>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</si>
  <si>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</si>
  <si>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</si>
  <si>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</si>
  <si>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</si>
  <si>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</si>
  <si>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</si>
  <si>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</si>
  <si>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</si>
  <si>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</si>
  <si>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</si>
  <si>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</si>
  <si>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</si>
  <si>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</si>
  <si>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</si>
  <si>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</si>
  <si>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</si>
  <si>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</si>
  <si>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</si>
  <si>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</si>
  <si>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</si>
  <si>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</si>
  <si>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</si>
  <si>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</si>
  <si>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</si>
  <si>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</si>
  <si>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</si>
  <si>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</si>
  <si>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</si>
  <si>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</si>
  <si>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</si>
  <si>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</si>
  <si>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</si>
  <si>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</si>
  <si>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</si>
  <si>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</si>
  <si>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</si>
  <si>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</si>
  <si>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</si>
  <si>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</si>
  <si>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</si>
  <si>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</si>
  <si>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</si>
  <si>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</si>
  <si>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</si>
  <si>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</si>
  <si>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</si>
  <si>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</si>
  <si>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</si>
  <si>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</si>
  <si>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</si>
  <si>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</si>
  <si>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</si>
  <si>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</si>
  <si>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</si>
  <si>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</si>
  <si>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</si>
  <si>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</si>
  <si>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</si>
  <si>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</si>
  <si>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</si>
  <si>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</si>
  <si>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</si>
  <si>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</si>
  <si>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</si>
  <si>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</si>
  <si>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</si>
  <si>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</si>
  <si>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</si>
  <si>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</si>
  <si>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</si>
  <si>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</si>
  <si>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</si>
  <si>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</si>
  <si>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</si>
  <si>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D-32,33</t>
  </si>
  <si>
    <t>D-20</t>
  </si>
  <si>
    <t>D-25,26</t>
  </si>
  <si>
    <t>D-29,30,31</t>
  </si>
  <si>
    <t>D-29</t>
  </si>
  <si>
    <t>D-31</t>
  </si>
  <si>
    <t>UD-2</t>
  </si>
  <si>
    <t>D-3,4,5</t>
  </si>
  <si>
    <t>D-23,24,25</t>
  </si>
  <si>
    <t>D-26,27,28</t>
  </si>
  <si>
    <t>D-1,2,3</t>
  </si>
  <si>
    <t>D-30,31,32</t>
  </si>
  <si>
    <t>D-24</t>
  </si>
  <si>
    <t>24,25,26</t>
  </si>
  <si>
    <t>D-26,27</t>
  </si>
  <si>
    <t>d-21,22</t>
  </si>
  <si>
    <t>D-27,28</t>
  </si>
  <si>
    <t>D-27,28,29</t>
  </si>
  <si>
    <t>D-33</t>
  </si>
  <si>
    <t>D-6666</t>
  </si>
  <si>
    <t>D-16,17,18</t>
  </si>
  <si>
    <t>D-2,3,4</t>
  </si>
  <si>
    <t>D-5,6,7</t>
  </si>
  <si>
    <t>D-9,10,11</t>
  </si>
  <si>
    <t>D-13,14,15</t>
  </si>
  <si>
    <t>D-15,16</t>
  </si>
  <si>
    <t>D-3,4</t>
  </si>
  <si>
    <t>D-12,13,14</t>
  </si>
  <si>
    <t>.</t>
  </si>
  <si>
    <t>D-4,5,6</t>
  </si>
  <si>
    <t>D-3</t>
  </si>
  <si>
    <t>D-11,12,13</t>
  </si>
  <si>
    <t>D-7,8,9</t>
  </si>
  <si>
    <t>D-26</t>
  </si>
  <si>
    <t>D-2</t>
  </si>
  <si>
    <t>D-8,9</t>
  </si>
  <si>
    <t>D-18,19,20</t>
  </si>
  <si>
    <t>D-8,9,10</t>
  </si>
  <si>
    <t>D-15,16,17</t>
  </si>
  <si>
    <t>D-14,15,16</t>
  </si>
  <si>
    <t>D-2,3</t>
  </si>
  <si>
    <t>Ud-2</t>
  </si>
  <si>
    <t>D-10,11,12</t>
  </si>
  <si>
    <t>Ud-1</t>
  </si>
  <si>
    <t>sand</t>
  </si>
  <si>
    <t>silt</t>
  </si>
  <si>
    <t>clay</t>
  </si>
  <si>
    <t>ll</t>
  </si>
  <si>
    <t>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</si>
</sst>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89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2" fontId="2" fillId="2" borderId="40" xfId="0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5.7070000000000003E-2</c:v>
                </c:pt>
                <c:pt idx="8">
                  <c:v>4.1680000000000002E-2</c:v>
                </c:pt>
                <c:pt idx="9">
                  <c:v>3.023E-2</c:v>
                </c:pt>
                <c:pt idx="10">
                  <c:v>2.179E-2</c:v>
                </c:pt>
                <c:pt idx="11">
                  <c:v>1.5990000000000001E-2</c:v>
                </c:pt>
                <c:pt idx="12">
                  <c:v>1.193E-2</c:v>
                </c:pt>
                <c:pt idx="13">
                  <c:v>8.5800000000000008E-3</c:v>
                </c:pt>
                <c:pt idx="14">
                  <c:v>6.2399999999999999E-3</c:v>
                </c:pt>
                <c:pt idx="15">
                  <c:v>4.4900000000000001E-3</c:v>
                </c:pt>
                <c:pt idx="16">
                  <c:v>3.2299999999999998E-3</c:v>
                </c:pt>
                <c:pt idx="17">
                  <c:v>2.3600000000000001E-3</c:v>
                </c:pt>
                <c:pt idx="18">
                  <c:v>1.3699999999999999E-3</c:v>
                </c:pt>
                <c:pt idx="19">
                  <c:v>9.8999999999999999E-4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99.2</c:v>
                </c:pt>
                <c:pt idx="4">
                  <c:v>97.5</c:v>
                </c:pt>
                <c:pt idx="5">
                  <c:v>94.9</c:v>
                </c:pt>
                <c:pt idx="6" formatCode="0.00">
                  <c:v>93.2</c:v>
                </c:pt>
                <c:pt idx="7" formatCode="0.00">
                  <c:v>94.276260551999997</c:v>
                </c:pt>
                <c:pt idx="8" formatCode="0.00">
                  <c:v>86.269784072000007</c:v>
                </c:pt>
                <c:pt idx="9" formatCode="0.00">
                  <c:v>80.264926712000005</c:v>
                </c:pt>
                <c:pt idx="10" formatCode="0.00">
                  <c:v>75.260878911999995</c:v>
                </c:pt>
                <c:pt idx="11" formatCode="0.00">
                  <c:v>66.253592872000013</c:v>
                </c:pt>
                <c:pt idx="12" formatCode="0.00">
                  <c:v>59.247925952000017</c:v>
                </c:pt>
                <c:pt idx="13" formatCode="0.00">
                  <c:v>54.243878152000008</c:v>
                </c:pt>
                <c:pt idx="14" formatCode="0.00">
                  <c:v>46.237401672000004</c:v>
                </c:pt>
                <c:pt idx="15" formatCode="0.00">
                  <c:v>40.232544312000009</c:v>
                </c:pt>
                <c:pt idx="16" formatCode="0.00">
                  <c:v>35.228496512000014</c:v>
                </c:pt>
                <c:pt idx="17" formatCode="0.00">
                  <c:v>23.218781792000005</c:v>
                </c:pt>
                <c:pt idx="18" formatCode="0.00">
                  <c:v>20.216353112</c:v>
                </c:pt>
                <c:pt idx="19" formatCode="0.00">
                  <c:v>16.213114872000002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saveCo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8356600" y="6515100"/>
          <a:ext cx="2095500" cy="330200"/>
        </a:xfrm>
        <a:prstGeom prst="roundRect">
          <a:avLst>
            <a:gd name="adj" fmla="val 50000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30</v>
          </cell>
        </row>
        <row r="45">
          <cell r="I45">
            <v>16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16" workbookViewId="0">
      <selection activeCell="O22" sqref="O22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8164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85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48" t="s">
        <v>203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2.5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48</v>
      </c>
      <c r="H5" s="26">
        <v>29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46</v>
      </c>
      <c r="H6" s="26">
        <v>29</v>
      </c>
      <c r="I6" s="250" t="s">
        <v>21</v>
      </c>
      <c r="J6" s="251"/>
      <c r="K6" s="251"/>
      <c r="L6" s="252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42</v>
      </c>
      <c r="H7" s="26">
        <v>29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39</v>
      </c>
      <c r="H8" s="26">
        <v>29</v>
      </c>
      <c r="I8" s="119" t="s">
        <v>22</v>
      </c>
      <c r="J8" s="34"/>
      <c r="K8" s="34"/>
      <c r="L8" s="120">
        <v>394.4</v>
      </c>
      <c r="M8" s="118"/>
      <c r="N8" s="225"/>
      <c r="O8" s="231"/>
      <c r="P8" s="225"/>
    </row>
    <row r="9" spans="1:16" x14ac:dyDescent="0.25">
      <c r="A9" s="117"/>
      <c r="B9" s="187">
        <v>30</v>
      </c>
      <c r="C9" s="195">
        <v>0.8</v>
      </c>
      <c r="D9" s="34"/>
      <c r="F9" s="26">
        <v>4</v>
      </c>
      <c r="G9" s="26">
        <v>36.5</v>
      </c>
      <c r="H9" s="26">
        <v>29</v>
      </c>
      <c r="I9" s="119" t="s">
        <v>23</v>
      </c>
      <c r="J9" s="34"/>
      <c r="K9" s="34"/>
      <c r="L9" s="120">
        <v>30</v>
      </c>
      <c r="M9" s="118"/>
      <c r="N9" s="225"/>
      <c r="O9" s="223"/>
    </row>
    <row r="10" spans="1:16" ht="13.5" x14ac:dyDescent="0.35">
      <c r="A10" s="117"/>
      <c r="B10" s="187">
        <v>50</v>
      </c>
      <c r="C10" s="195">
        <v>1.7</v>
      </c>
      <c r="D10" s="34"/>
      <c r="F10" s="26">
        <v>8</v>
      </c>
      <c r="G10" s="26">
        <v>32</v>
      </c>
      <c r="H10" s="26">
        <v>29</v>
      </c>
      <c r="I10" s="119" t="s">
        <v>24</v>
      </c>
      <c r="J10" s="34"/>
      <c r="K10" s="34"/>
      <c r="L10" s="120">
        <v>365.8</v>
      </c>
      <c r="M10" s="118"/>
      <c r="N10" s="225"/>
      <c r="O10" s="230"/>
    </row>
    <row r="11" spans="1:16" ht="13.5" x14ac:dyDescent="0.35">
      <c r="A11" s="117"/>
      <c r="B11" s="187">
        <v>100</v>
      </c>
      <c r="C11" s="195">
        <v>2.6</v>
      </c>
      <c r="D11" s="34"/>
      <c r="F11" s="26">
        <v>15</v>
      </c>
      <c r="G11" s="26">
        <v>28.5</v>
      </c>
      <c r="H11" s="26">
        <v>29</v>
      </c>
      <c r="I11" s="119" t="s">
        <v>25</v>
      </c>
      <c r="J11" s="34"/>
      <c r="K11" s="34"/>
      <c r="L11" s="120">
        <v>49.2</v>
      </c>
      <c r="M11" s="118"/>
      <c r="N11" s="225"/>
      <c r="O11" s="230"/>
      <c r="P11" s="227"/>
    </row>
    <row r="12" spans="1:16" x14ac:dyDescent="0.25">
      <c r="A12" s="117"/>
      <c r="B12" s="187">
        <v>200</v>
      </c>
      <c r="C12" s="195">
        <v>1.7</v>
      </c>
      <c r="D12" s="34"/>
      <c r="F12" s="26">
        <v>30</v>
      </c>
      <c r="G12" s="26">
        <v>26</v>
      </c>
      <c r="H12" s="26">
        <v>29</v>
      </c>
      <c r="I12" s="121" t="s">
        <v>26</v>
      </c>
      <c r="J12" s="34"/>
      <c r="K12" s="34"/>
      <c r="L12" s="118">
        <f>ROUND(-0.000005006464124*L9^2-0.00000484550743*L9+1.00033065352292,5)</f>
        <v>0.99568000000000001</v>
      </c>
      <c r="M12" s="118"/>
      <c r="N12" s="225"/>
      <c r="P12" s="224"/>
    </row>
    <row r="13" spans="1:16" ht="13" thickBot="1" x14ac:dyDescent="0.3">
      <c r="A13" s="117"/>
      <c r="B13" s="188" t="s">
        <v>157</v>
      </c>
      <c r="C13" s="249">
        <v>93.2</v>
      </c>
      <c r="D13" s="34"/>
      <c r="F13" s="26">
        <v>60</v>
      </c>
      <c r="G13" s="26">
        <v>22</v>
      </c>
      <c r="H13" s="26">
        <v>29</v>
      </c>
      <c r="I13" s="122" t="s">
        <v>27</v>
      </c>
      <c r="J13" s="123"/>
      <c r="K13" s="123"/>
      <c r="L13" s="124">
        <f>MROUND((L12*L11)/(L11-L8+L10),0.01)</f>
        <v>2.38</v>
      </c>
      <c r="M13" s="118"/>
      <c r="P13" s="222"/>
    </row>
    <row r="14" spans="1:16" x14ac:dyDescent="0.25">
      <c r="A14" s="117"/>
      <c r="D14" s="34"/>
      <c r="F14" s="26">
        <v>120</v>
      </c>
      <c r="G14" s="26">
        <v>19</v>
      </c>
      <c r="H14" s="26">
        <v>29</v>
      </c>
      <c r="I14" s="34"/>
      <c r="J14" s="34"/>
      <c r="K14" s="34"/>
      <c r="L14" s="34"/>
      <c r="M14" s="118"/>
      <c r="P14" s="223"/>
    </row>
    <row r="15" spans="1:16" x14ac:dyDescent="0.25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16.5</v>
      </c>
      <c r="H15" s="26">
        <v>29</v>
      </c>
      <c r="I15" s="34"/>
      <c r="J15" s="34"/>
      <c r="K15" s="34"/>
      <c r="L15" s="34"/>
      <c r="M15" s="118"/>
      <c r="O15" s="232"/>
      <c r="P15" s="229"/>
    </row>
    <row r="16" spans="1:16" x14ac:dyDescent="0.25">
      <c r="A16" s="117"/>
      <c r="B16" s="236">
        <v>36892</v>
      </c>
      <c r="C16" s="237">
        <v>0.23124999999999998</v>
      </c>
      <c r="D16" s="238" t="str">
        <f>CONCATENATE(TEXT(B16,"mm/dd/yy"),TEXT(C16," hh:mm"), " PM")</f>
        <v>01/01/01 05:33 PM</v>
      </c>
      <c r="E16" s="241">
        <f>F16</f>
        <v>480</v>
      </c>
      <c r="F16" s="233">
        <v>480</v>
      </c>
      <c r="G16" s="244">
        <v>13</v>
      </c>
      <c r="H16" s="26">
        <v>29</v>
      </c>
      <c r="I16" s="34"/>
      <c r="J16" s="34"/>
      <c r="K16" s="34"/>
      <c r="L16" s="34"/>
      <c r="M16" s="118"/>
      <c r="P16" s="228"/>
    </row>
    <row r="17" spans="1:16" x14ac:dyDescent="0.25">
      <c r="A17" s="117"/>
      <c r="B17" s="236">
        <v>36893</v>
      </c>
      <c r="C17" s="237">
        <v>0.38263888888888892</v>
      </c>
      <c r="D17" s="238" t="str">
        <f>CONCATENATE(TEXT(B17,"mm/dd/yy"),TEXT(C17," hh:mm"), " AM")</f>
        <v>01/02/01 09:11 AM</v>
      </c>
      <c r="E17" s="239">
        <f>D17-D16</f>
        <v>0.65138888889487134</v>
      </c>
      <c r="F17" s="234">
        <v>1455</v>
      </c>
      <c r="G17" s="26">
        <v>10.5</v>
      </c>
      <c r="H17" s="26">
        <v>29</v>
      </c>
      <c r="I17" s="242"/>
      <c r="J17" s="240"/>
      <c r="K17" s="34"/>
      <c r="L17" s="34"/>
      <c r="M17" s="118"/>
      <c r="P17" s="223"/>
    </row>
    <row r="18" spans="1:16" x14ac:dyDescent="0.25">
      <c r="A18" s="117"/>
      <c r="B18" s="236">
        <v>36894</v>
      </c>
      <c r="C18" s="237">
        <v>0.40486111111111112</v>
      </c>
      <c r="D18" s="238" t="str">
        <f>CONCATENATE(TEXT(B18,"mm/dd/yy"),TEXT(C18," hh:mm"), " AM")</f>
        <v>01/03/01 09:43 AM</v>
      </c>
      <c r="E18" s="239">
        <f t="shared" ref="E18:E19" si="0">D18-D17</f>
        <v>1.0222222222218988</v>
      </c>
      <c r="F18" s="233">
        <v>2868</v>
      </c>
      <c r="G18" s="26">
        <v>9</v>
      </c>
      <c r="H18" s="26">
        <v>29</v>
      </c>
      <c r="I18" s="34"/>
      <c r="J18" s="240"/>
      <c r="K18" s="34"/>
      <c r="L18" s="34"/>
      <c r="M18" s="118"/>
      <c r="P18" s="226"/>
    </row>
    <row r="19" spans="1:16" x14ac:dyDescent="0.25">
      <c r="A19" s="117"/>
      <c r="B19" s="236">
        <v>36895</v>
      </c>
      <c r="C19" s="237">
        <v>0.38541666666666669</v>
      </c>
      <c r="D19" s="238" t="str">
        <f>CONCATENATE(TEXT(B19,"mm/dd/yy"),TEXT(C19," hh:mm"), " AM")</f>
        <v>01/04/01 09:15 AM</v>
      </c>
      <c r="E19" s="239">
        <f t="shared" si="0"/>
        <v>0.98055555555038154</v>
      </c>
      <c r="F19" s="233">
        <v>4304</v>
      </c>
      <c r="G19" s="26">
        <v>7</v>
      </c>
      <c r="H19" s="26">
        <v>30</v>
      </c>
      <c r="I19" s="34"/>
      <c r="J19" s="240"/>
      <c r="K19" s="34"/>
      <c r="L19" s="34"/>
      <c r="M19" s="118"/>
      <c r="P19" s="223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21</v>
      </c>
      <c r="F24" s="200">
        <v>25</v>
      </c>
      <c r="G24" s="200">
        <v>30</v>
      </c>
      <c r="H24" s="200">
        <v>35</v>
      </c>
      <c r="J24" s="201" t="s">
        <v>163</v>
      </c>
      <c r="K24" s="71"/>
      <c r="L24" s="197"/>
      <c r="M24" s="205">
        <v>10.47</v>
      </c>
      <c r="N24" s="205">
        <v>9.2899999999999991</v>
      </c>
      <c r="O24" s="202">
        <v>9.64</v>
      </c>
    </row>
    <row r="25" spans="1:16" x14ac:dyDescent="0.25">
      <c r="B25" s="201" t="s">
        <v>163</v>
      </c>
      <c r="C25" s="201"/>
      <c r="D25" s="202">
        <v>10.199999999999999</v>
      </c>
      <c r="E25" s="202">
        <v>9.1199999999999992</v>
      </c>
      <c r="F25" s="202">
        <v>10</v>
      </c>
      <c r="G25" s="202">
        <v>9.8699999999999992</v>
      </c>
      <c r="H25" s="202">
        <v>10.3</v>
      </c>
      <c r="J25" s="201" t="s">
        <v>170</v>
      </c>
      <c r="K25" s="206"/>
      <c r="L25" s="37"/>
      <c r="M25" s="205">
        <v>52.4</v>
      </c>
      <c r="N25" s="205">
        <v>49.54</v>
      </c>
      <c r="O25" s="202">
        <v>48.02</v>
      </c>
    </row>
    <row r="26" spans="1:16" x14ac:dyDescent="0.25">
      <c r="B26" s="201" t="s">
        <v>164</v>
      </c>
      <c r="C26" s="14"/>
      <c r="D26" s="202">
        <v>47.74</v>
      </c>
      <c r="E26" s="202">
        <v>47.44</v>
      </c>
      <c r="F26" s="202">
        <v>47.7</v>
      </c>
      <c r="G26" s="202">
        <v>48.28</v>
      </c>
      <c r="H26" s="202">
        <v>49.71</v>
      </c>
      <c r="J26" s="201" t="s">
        <v>171</v>
      </c>
      <c r="K26" s="71"/>
      <c r="L26" s="207" t="s">
        <v>225</v>
      </c>
      <c r="M26" s="205">
        <v>46.54</v>
      </c>
      <c r="N26" s="205">
        <v>44.02</v>
      </c>
      <c r="O26" s="202">
        <v>42.67</v>
      </c>
    </row>
    <row r="27" spans="1:16" x14ac:dyDescent="0.25">
      <c r="B27" s="201" t="s">
        <v>165</v>
      </c>
      <c r="C27" s="201"/>
      <c r="D27" s="202">
        <v>38.58</v>
      </c>
      <c r="E27" s="202">
        <v>38.58</v>
      </c>
      <c r="F27" s="202">
        <v>39.119999999999997</v>
      </c>
      <c r="G27" s="202">
        <v>39.72</v>
      </c>
      <c r="H27" s="202">
        <v>41.08</v>
      </c>
      <c r="J27" s="201" t="s">
        <v>172</v>
      </c>
      <c r="K27" s="71"/>
      <c r="L27" s="208"/>
      <c r="M27" s="201">
        <v>7.34</v>
      </c>
      <c r="N27" s="201">
        <f>N25-N26</f>
        <v>5.519999999999996</v>
      </c>
      <c r="O27" s="201">
        <f>O25-O26</f>
        <v>5.3500000000000014</v>
      </c>
    </row>
    <row r="28" spans="1:16" ht="13.5" x14ac:dyDescent="0.35">
      <c r="B28" s="201" t="s">
        <v>166</v>
      </c>
      <c r="C28" s="201"/>
      <c r="D28" s="201">
        <f>D26-D27</f>
        <v>9.1600000000000037</v>
      </c>
      <c r="E28" s="201">
        <f>E26-E27</f>
        <v>8.86</v>
      </c>
      <c r="F28" s="201">
        <f>F26-F27</f>
        <v>8.5800000000000054</v>
      </c>
      <c r="G28" s="201">
        <f>G26-G27</f>
        <v>8.5600000000000023</v>
      </c>
      <c r="H28" s="201">
        <f>H26-H27</f>
        <v>8.6300000000000026</v>
      </c>
      <c r="J28" s="201" t="s">
        <v>173</v>
      </c>
      <c r="K28" s="71"/>
      <c r="L28" s="37"/>
      <c r="M28" s="201">
        <f>M26-M24</f>
        <v>36.07</v>
      </c>
      <c r="N28" s="201">
        <f>N26-N24</f>
        <v>34.730000000000004</v>
      </c>
      <c r="O28" s="201">
        <f>O26-O24</f>
        <v>33.03</v>
      </c>
    </row>
    <row r="29" spans="1:16" ht="13.5" x14ac:dyDescent="0.35">
      <c r="B29" s="201" t="s">
        <v>167</v>
      </c>
      <c r="C29" s="201"/>
      <c r="D29" s="201">
        <f>D27-D25</f>
        <v>28.38</v>
      </c>
      <c r="E29" s="201">
        <f>E27-E25</f>
        <v>29.46</v>
      </c>
      <c r="F29" s="201">
        <f>F27-F25</f>
        <v>29.119999999999997</v>
      </c>
      <c r="G29" s="201">
        <f>G27-G25</f>
        <v>29.85</v>
      </c>
      <c r="H29" s="201">
        <f>H27-H25</f>
        <v>30.779999999999998</v>
      </c>
      <c r="J29" s="201" t="s">
        <v>168</v>
      </c>
      <c r="K29" s="71"/>
      <c r="L29" s="37"/>
      <c r="M29" s="203">
        <f>M27/M28*100</f>
        <v>20.34932076517882</v>
      </c>
      <c r="N29" s="203">
        <f>N27/N28*100</f>
        <v>15.894039735099325</v>
      </c>
      <c r="O29" s="203">
        <f>O27/O28*100</f>
        <v>16.197396306388136</v>
      </c>
    </row>
    <row r="30" spans="1:16" x14ac:dyDescent="0.25">
      <c r="B30" s="201" t="s">
        <v>168</v>
      </c>
      <c r="C30" s="201"/>
      <c r="D30" s="203">
        <f>D28/D29*100</f>
        <v>32.276250880902055</v>
      </c>
      <c r="E30" s="203">
        <f>E28/E29*100</f>
        <v>30.074677528852678</v>
      </c>
      <c r="F30" s="203">
        <f>F28/F29*100</f>
        <v>29.464285714285737</v>
      </c>
      <c r="G30" s="203">
        <f>G28/G29*100</f>
        <v>28.676716917922956</v>
      </c>
      <c r="H30" s="203">
        <f>H28/H29*100</f>
        <v>28.037686809616645</v>
      </c>
    </row>
    <row r="34" spans="9:16" x14ac:dyDescent="0.25">
      <c r="J34" s="253" t="s">
        <v>177</v>
      </c>
      <c r="K34" s="253"/>
      <c r="L34" s="253"/>
      <c r="M34" s="253"/>
      <c r="N34" s="253"/>
      <c r="O34" s="253"/>
      <c r="P34" s="253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5" customHeight="1" x14ac:dyDescent="0.25">
      <c r="I36">
        <f>SUM(J36:L36)</f>
        <v>100</v>
      </c>
      <c r="J36" s="214">
        <f>Report!C39+Report!C38+Report!C37</f>
        <v>6.8000000000000007</v>
      </c>
      <c r="K36" s="214">
        <f>Report!C40</f>
        <v>51</v>
      </c>
      <c r="L36" s="214">
        <f>Report!C41</f>
        <v>42.2</v>
      </c>
      <c r="M36" s="215">
        <f>[1]Report!$D$36</f>
        <v>30</v>
      </c>
      <c r="N36" s="215">
        <f>[1]Report!$I$45</f>
        <v>16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J351"/>
  <sheetViews>
    <sheetView tabSelected="1" workbookViewId="0">
      <selection activeCell="O6" sqref="O6"/>
    </sheetView>
  </sheetViews>
  <sheetFormatPr defaultRowHeight="12.5" x14ac:dyDescent="0.25"/>
  <cols>
    <col min="1" max="1" width="12.81640625" customWidth="1"/>
    <col min="2" max="2" width="17.7265625" customWidth="1"/>
  </cols>
  <sheetData>
    <row r="1" spans="1:10" x14ac:dyDescent="0.25">
      <c r="A1" s="219" t="s">
        <v>178</v>
      </c>
      <c r="B1" s="219" t="s">
        <v>179</v>
      </c>
      <c r="C1" s="220" t="s">
        <v>241</v>
      </c>
      <c r="D1" s="221" t="s">
        <v>242</v>
      </c>
      <c r="E1" s="221" t="s">
        <v>243</v>
      </c>
      <c r="F1" s="221" t="s">
        <v>244</v>
      </c>
      <c r="G1" s="221" t="s">
        <v>245</v>
      </c>
      <c r="H1" s="221" t="s">
        <v>124</v>
      </c>
      <c r="I1" s="221" t="s">
        <v>123</v>
      </c>
      <c r="J1" s="243" t="s">
        <v>185</v>
      </c>
    </row>
    <row r="2" spans="1:10" x14ac:dyDescent="0.25">
      <c r="A2" s="246">
        <v>1000</v>
      </c>
      <c r="B2" s="246" t="s">
        <v>216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5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5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5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5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0" x14ac:dyDescent="0.25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</row>
    <row r="18" spans="1:10" x14ac:dyDescent="0.25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0" x14ac:dyDescent="0.25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0" x14ac:dyDescent="0.25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0" x14ac:dyDescent="0.25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0" x14ac:dyDescent="0.25">
      <c r="A22" s="216">
        <v>83</v>
      </c>
      <c r="B22" s="216" t="s">
        <v>197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0" x14ac:dyDescent="0.25">
      <c r="A23" s="216">
        <v>84</v>
      </c>
      <c r="B23" s="216" t="s">
        <v>198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0" x14ac:dyDescent="0.25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0" x14ac:dyDescent="0.25">
      <c r="A25" s="216">
        <v>90</v>
      </c>
      <c r="B25" s="216" t="s">
        <v>199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0" x14ac:dyDescent="0.25">
      <c r="A26" s="216">
        <v>91</v>
      </c>
      <c r="B26" s="216" t="s">
        <v>200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0" x14ac:dyDescent="0.25">
      <c r="A27" s="216">
        <v>92</v>
      </c>
      <c r="B27" s="216" t="s">
        <v>201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0" x14ac:dyDescent="0.25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0" x14ac:dyDescent="0.25">
      <c r="A29" s="216">
        <v>95</v>
      </c>
      <c r="B29" s="216" t="s">
        <v>202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0" x14ac:dyDescent="0.25">
      <c r="A30" s="216">
        <v>96</v>
      </c>
      <c r="B30" s="216" t="s">
        <v>203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0" x14ac:dyDescent="0.25">
      <c r="A31" s="216">
        <v>96</v>
      </c>
      <c r="B31" s="216" t="s">
        <v>204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0" x14ac:dyDescent="0.25">
      <c r="A32" s="216">
        <v>96</v>
      </c>
      <c r="B32" s="216" t="s">
        <v>205</v>
      </c>
      <c r="C32" s="216">
        <v>2</v>
      </c>
      <c r="D32" s="216">
        <v>80.19</v>
      </c>
      <c r="E32" s="216">
        <v>17.810000000000002</v>
      </c>
      <c r="F32" s="216">
        <v>38</v>
      </c>
      <c r="G32" s="216">
        <v>27</v>
      </c>
      <c r="H32" s="216">
        <v>2.42</v>
      </c>
      <c r="I32" s="216">
        <v>12.5</v>
      </c>
      <c r="J32">
        <f t="shared" si="0"/>
        <v>81</v>
      </c>
    </row>
    <row r="33" spans="1:10" x14ac:dyDescent="0.25">
      <c r="A33" s="216">
        <v>98</v>
      </c>
      <c r="B33" s="216" t="s">
        <v>191</v>
      </c>
      <c r="C33" s="216">
        <v>3.2</v>
      </c>
      <c r="D33" s="216">
        <v>64.3</v>
      </c>
      <c r="E33" s="216">
        <v>32.5</v>
      </c>
      <c r="F33" s="216">
        <v>50</v>
      </c>
      <c r="G33" s="216">
        <v>20</v>
      </c>
      <c r="H33" s="216" t="s">
        <v>184</v>
      </c>
      <c r="I33" s="216" t="s">
        <v>184</v>
      </c>
      <c r="J33">
        <f t="shared" si="0"/>
        <v>82</v>
      </c>
    </row>
    <row r="34" spans="1:10" x14ac:dyDescent="0.25">
      <c r="A34" s="216">
        <v>99</v>
      </c>
      <c r="B34" s="216" t="s">
        <v>206</v>
      </c>
      <c r="C34" s="216">
        <v>44.5</v>
      </c>
      <c r="D34" s="216">
        <v>41.14</v>
      </c>
      <c r="E34" s="216">
        <v>14.36</v>
      </c>
      <c r="F34" s="216">
        <v>27</v>
      </c>
      <c r="G34" s="216">
        <v>18</v>
      </c>
      <c r="H34" s="216">
        <v>1.43</v>
      </c>
      <c r="I34" s="216">
        <v>37.67</v>
      </c>
      <c r="J34">
        <f t="shared" si="0"/>
        <v>83</v>
      </c>
    </row>
    <row r="35" spans="1:10" x14ac:dyDescent="0.25">
      <c r="A35" s="216">
        <v>104</v>
      </c>
      <c r="B35" s="216" t="s">
        <v>207</v>
      </c>
      <c r="C35" s="216">
        <v>9.5</v>
      </c>
      <c r="D35" s="216">
        <v>75.22</v>
      </c>
      <c r="E35" s="216">
        <v>15.27</v>
      </c>
      <c r="F35" s="216">
        <v>38</v>
      </c>
      <c r="G35" s="216">
        <v>26</v>
      </c>
      <c r="H35" s="216">
        <v>2.96</v>
      </c>
      <c r="I35" s="216">
        <v>19</v>
      </c>
      <c r="J35">
        <f t="shared" si="0"/>
        <v>84</v>
      </c>
    </row>
    <row r="36" spans="1:10" x14ac:dyDescent="0.25">
      <c r="A36" s="216">
        <v>106</v>
      </c>
      <c r="B36" s="216" t="s">
        <v>187</v>
      </c>
      <c r="C36" s="216">
        <v>4.3</v>
      </c>
      <c r="D36" s="216">
        <v>67.87</v>
      </c>
      <c r="E36" s="216">
        <v>27.84</v>
      </c>
      <c r="F36" s="216">
        <v>39</v>
      </c>
      <c r="G36" s="216">
        <v>23</v>
      </c>
      <c r="H36" s="216" t="s">
        <v>184</v>
      </c>
      <c r="I36" s="216" t="s">
        <v>184</v>
      </c>
      <c r="J36">
        <f t="shared" si="0"/>
        <v>85</v>
      </c>
    </row>
    <row r="37" spans="1:10" x14ac:dyDescent="0.25">
      <c r="A37" s="216">
        <v>111</v>
      </c>
      <c r="B37" s="216" t="s">
        <v>197</v>
      </c>
      <c r="C37" s="216">
        <v>1.4</v>
      </c>
      <c r="D37" s="216">
        <v>57.7</v>
      </c>
      <c r="E37" s="216">
        <v>40.900000000000006</v>
      </c>
      <c r="F37" s="216">
        <v>56</v>
      </c>
      <c r="G37" s="216">
        <v>24</v>
      </c>
      <c r="H37" s="216" t="s">
        <v>184</v>
      </c>
      <c r="I37" s="216" t="s">
        <v>184</v>
      </c>
      <c r="J37">
        <f t="shared" si="0"/>
        <v>86</v>
      </c>
    </row>
    <row r="38" spans="1:10" x14ac:dyDescent="0.25">
      <c r="A38" s="216">
        <v>114</v>
      </c>
      <c r="B38" s="216" t="s">
        <v>208</v>
      </c>
      <c r="C38" s="216">
        <v>5.5</v>
      </c>
      <c r="D38" s="216">
        <v>65.06</v>
      </c>
      <c r="E38" s="216">
        <v>29.439999999999998</v>
      </c>
      <c r="F38" s="216">
        <v>39</v>
      </c>
      <c r="G38" s="216">
        <v>21</v>
      </c>
      <c r="H38" s="216" t="s">
        <v>184</v>
      </c>
      <c r="I38" s="216" t="s">
        <v>184</v>
      </c>
      <c r="J38">
        <f t="shared" si="0"/>
        <v>87</v>
      </c>
    </row>
    <row r="39" spans="1:10" x14ac:dyDescent="0.25">
      <c r="A39" s="216">
        <v>118</v>
      </c>
      <c r="B39" s="216" t="s">
        <v>197</v>
      </c>
      <c r="C39" s="216">
        <v>3.7</v>
      </c>
      <c r="D39" s="216">
        <v>69.44</v>
      </c>
      <c r="E39" s="216">
        <v>26.869999999999997</v>
      </c>
      <c r="F39" s="216">
        <v>41</v>
      </c>
      <c r="G39" s="216">
        <v>22</v>
      </c>
      <c r="H39" s="216" t="s">
        <v>184</v>
      </c>
      <c r="I39" s="216" t="s">
        <v>184</v>
      </c>
      <c r="J39">
        <f t="shared" si="0"/>
        <v>88</v>
      </c>
    </row>
    <row r="40" spans="1:10" x14ac:dyDescent="0.25">
      <c r="A40" s="216">
        <v>119</v>
      </c>
      <c r="B40" s="216" t="s">
        <v>209</v>
      </c>
      <c r="C40" s="216">
        <v>2.2999999999999998</v>
      </c>
      <c r="D40" s="216">
        <v>75.48</v>
      </c>
      <c r="E40" s="216">
        <v>22.22</v>
      </c>
      <c r="F40" s="216">
        <v>36</v>
      </c>
      <c r="G40" s="216">
        <v>28</v>
      </c>
      <c r="H40" s="216" t="s">
        <v>184</v>
      </c>
      <c r="I40" s="216" t="s">
        <v>184</v>
      </c>
      <c r="J40">
        <f t="shared" si="0"/>
        <v>89</v>
      </c>
    </row>
    <row r="41" spans="1:10" x14ac:dyDescent="0.25">
      <c r="A41" s="216">
        <v>119</v>
      </c>
      <c r="B41" s="216" t="s">
        <v>187</v>
      </c>
      <c r="C41" s="216">
        <v>5.4</v>
      </c>
      <c r="D41" s="216">
        <v>62.98</v>
      </c>
      <c r="E41" s="216">
        <v>31.62</v>
      </c>
      <c r="F41" s="216">
        <v>34</v>
      </c>
      <c r="G41" s="216">
        <v>21</v>
      </c>
      <c r="H41" s="216" t="s">
        <v>184</v>
      </c>
      <c r="I41" s="216" t="s">
        <v>184</v>
      </c>
      <c r="J41">
        <f t="shared" si="0"/>
        <v>90</v>
      </c>
    </row>
    <row r="42" spans="1:10" x14ac:dyDescent="0.25">
      <c r="A42" s="216">
        <v>120</v>
      </c>
      <c r="B42" s="216" t="s">
        <v>210</v>
      </c>
      <c r="C42" s="216">
        <v>40.200000000000003</v>
      </c>
      <c r="D42" s="216">
        <v>43.43</v>
      </c>
      <c r="E42" s="216">
        <v>16.36</v>
      </c>
      <c r="F42" s="216">
        <v>28</v>
      </c>
      <c r="G42" s="216">
        <v>20</v>
      </c>
      <c r="H42" s="216">
        <v>1.58</v>
      </c>
      <c r="I42" s="216">
        <v>40.5</v>
      </c>
      <c r="J42">
        <v>91</v>
      </c>
    </row>
    <row r="43" spans="1:10" x14ac:dyDescent="0.25">
      <c r="A43" s="216">
        <v>123</v>
      </c>
      <c r="B43" s="216" t="s">
        <v>187</v>
      </c>
      <c r="C43" s="216">
        <v>3.2</v>
      </c>
      <c r="D43" s="216">
        <v>66.27</v>
      </c>
      <c r="E43" s="216">
        <v>30.54</v>
      </c>
      <c r="F43" s="216">
        <v>36</v>
      </c>
      <c r="G43" s="216">
        <v>22</v>
      </c>
      <c r="H43" s="216" t="s">
        <v>184</v>
      </c>
      <c r="I43" s="216" t="s">
        <v>184</v>
      </c>
      <c r="J43">
        <v>92</v>
      </c>
    </row>
    <row r="44" spans="1:10" x14ac:dyDescent="0.25">
      <c r="A44" s="216">
        <v>127</v>
      </c>
      <c r="B44" s="216" t="s">
        <v>197</v>
      </c>
      <c r="C44" s="216">
        <v>1.5</v>
      </c>
      <c r="D44" s="216">
        <v>59.73</v>
      </c>
      <c r="E44" s="216">
        <v>38.770000000000003</v>
      </c>
      <c r="F44" s="216">
        <v>43</v>
      </c>
      <c r="G44" s="216">
        <v>20</v>
      </c>
      <c r="H44" s="216" t="s">
        <v>184</v>
      </c>
      <c r="I44" s="216" t="s">
        <v>184</v>
      </c>
      <c r="J44">
        <v>93</v>
      </c>
    </row>
    <row r="45" spans="1:10" x14ac:dyDescent="0.25">
      <c r="A45" s="216">
        <v>130</v>
      </c>
      <c r="B45" s="216" t="s">
        <v>211</v>
      </c>
      <c r="C45" s="216">
        <v>36.6</v>
      </c>
      <c r="D45" s="216">
        <v>47.63</v>
      </c>
      <c r="E45" s="216">
        <v>15.77</v>
      </c>
      <c r="F45" s="216">
        <v>38</v>
      </c>
      <c r="G45" s="216">
        <v>21</v>
      </c>
      <c r="H45" s="216">
        <v>2.9</v>
      </c>
      <c r="I45" s="216">
        <v>34.5</v>
      </c>
      <c r="J45">
        <v>94</v>
      </c>
    </row>
    <row r="46" spans="1:10" x14ac:dyDescent="0.25">
      <c r="A46" s="216">
        <v>136</v>
      </c>
      <c r="B46" s="216" t="s">
        <v>212</v>
      </c>
      <c r="C46" s="216">
        <v>1.7</v>
      </c>
      <c r="D46" s="216">
        <v>87.27</v>
      </c>
      <c r="E46" s="216">
        <v>11.03</v>
      </c>
      <c r="F46" s="216">
        <v>38</v>
      </c>
      <c r="G46" s="216">
        <v>27</v>
      </c>
      <c r="H46" s="216">
        <v>1.81</v>
      </c>
      <c r="I46" s="216">
        <v>7.75</v>
      </c>
      <c r="J46">
        <v>95</v>
      </c>
    </row>
    <row r="47" spans="1:10" x14ac:dyDescent="0.25">
      <c r="A47" s="216">
        <v>137</v>
      </c>
      <c r="B47" s="216" t="s">
        <v>197</v>
      </c>
      <c r="C47" s="216">
        <v>9</v>
      </c>
      <c r="D47" s="216">
        <v>66.040000000000006</v>
      </c>
      <c r="E47" s="216">
        <v>24.96</v>
      </c>
      <c r="F47" s="216">
        <v>43</v>
      </c>
      <c r="G47" s="216">
        <v>23</v>
      </c>
      <c r="H47" s="216" t="s">
        <v>184</v>
      </c>
      <c r="I47" s="216" t="s">
        <v>184</v>
      </c>
      <c r="J47">
        <v>96</v>
      </c>
    </row>
    <row r="48" spans="1:10" x14ac:dyDescent="0.25">
      <c r="A48" s="216">
        <v>140</v>
      </c>
      <c r="B48" s="216" t="s">
        <v>146</v>
      </c>
      <c r="C48" s="216">
        <v>1.9</v>
      </c>
      <c r="D48" s="216">
        <v>85.36</v>
      </c>
      <c r="E48" s="216">
        <v>12.75</v>
      </c>
      <c r="F48" s="216">
        <v>54</v>
      </c>
      <c r="G48" s="216">
        <v>37</v>
      </c>
      <c r="H48" s="216">
        <v>2.08</v>
      </c>
      <c r="I48" s="216">
        <v>6.75</v>
      </c>
      <c r="J48">
        <v>97</v>
      </c>
    </row>
    <row r="49" spans="1:10" x14ac:dyDescent="0.25">
      <c r="A49" s="216">
        <v>140</v>
      </c>
      <c r="B49" s="216" t="s">
        <v>213</v>
      </c>
      <c r="C49" s="216">
        <v>45.9</v>
      </c>
      <c r="D49" s="216">
        <v>38.72</v>
      </c>
      <c r="E49" s="216">
        <v>15.38</v>
      </c>
      <c r="F49" s="216">
        <v>25</v>
      </c>
      <c r="G49" s="216">
        <v>18</v>
      </c>
      <c r="H49" s="216">
        <v>0.52</v>
      </c>
      <c r="I49" s="216">
        <v>54.67</v>
      </c>
      <c r="J49">
        <v>98</v>
      </c>
    </row>
    <row r="50" spans="1:10" x14ac:dyDescent="0.25">
      <c r="A50" s="216">
        <v>1</v>
      </c>
      <c r="B50" s="216" t="s">
        <v>191</v>
      </c>
      <c r="C50" s="216">
        <v>11.5</v>
      </c>
      <c r="D50" s="216">
        <v>58.08</v>
      </c>
      <c r="E50" s="216">
        <v>30.42</v>
      </c>
      <c r="F50" s="216">
        <v>41</v>
      </c>
      <c r="G50" s="216">
        <v>21</v>
      </c>
      <c r="H50" s="216"/>
      <c r="I50" s="216"/>
    </row>
    <row r="51" spans="1:10" x14ac:dyDescent="0.25">
      <c r="A51" s="216">
        <v>4</v>
      </c>
      <c r="B51" s="216" t="s">
        <v>146</v>
      </c>
      <c r="C51" s="216">
        <v>1.3</v>
      </c>
      <c r="D51" s="216">
        <v>53.31</v>
      </c>
      <c r="E51" s="216">
        <v>45.39</v>
      </c>
      <c r="F51" s="216">
        <v>42</v>
      </c>
      <c r="G51" s="216">
        <v>23</v>
      </c>
      <c r="H51" s="216"/>
      <c r="I51" s="216"/>
    </row>
    <row r="52" spans="1:10" x14ac:dyDescent="0.25">
      <c r="A52" s="216">
        <v>4</v>
      </c>
      <c r="B52" s="216" t="s">
        <v>208</v>
      </c>
      <c r="C52" s="216">
        <v>2.7</v>
      </c>
      <c r="D52" s="216">
        <v>70.66</v>
      </c>
      <c r="E52" s="216">
        <v>26.64</v>
      </c>
      <c r="F52" s="216">
        <v>37</v>
      </c>
      <c r="G52" s="216">
        <v>23</v>
      </c>
      <c r="H52" s="216"/>
      <c r="I52" s="216"/>
    </row>
    <row r="53" spans="1:10" x14ac:dyDescent="0.25">
      <c r="A53" s="216">
        <v>5</v>
      </c>
      <c r="B53" s="216" t="s">
        <v>197</v>
      </c>
      <c r="C53" s="216">
        <v>3.7</v>
      </c>
      <c r="D53" s="216">
        <v>58.37</v>
      </c>
      <c r="E53" s="216">
        <v>37.93</v>
      </c>
      <c r="F53" s="216">
        <v>40</v>
      </c>
      <c r="G53" s="216">
        <v>22</v>
      </c>
      <c r="H53" s="216" t="s">
        <v>184</v>
      </c>
      <c r="I53" s="216" t="s">
        <v>184</v>
      </c>
      <c r="J53">
        <v>1</v>
      </c>
    </row>
    <row r="54" spans="1:10" x14ac:dyDescent="0.25">
      <c r="A54" s="216">
        <v>6</v>
      </c>
      <c r="B54" s="216" t="s">
        <v>197</v>
      </c>
      <c r="C54" s="216">
        <v>8.3000000000000007</v>
      </c>
      <c r="D54" s="216">
        <v>54.14</v>
      </c>
      <c r="E54" s="216">
        <v>37.56</v>
      </c>
      <c r="F54" s="216">
        <v>34</v>
      </c>
      <c r="G54" s="216">
        <v>19</v>
      </c>
      <c r="H54" s="216" t="s">
        <v>184</v>
      </c>
      <c r="I54" s="216" t="s">
        <v>184</v>
      </c>
      <c r="J54">
        <v>2</v>
      </c>
    </row>
    <row r="55" spans="1:10" x14ac:dyDescent="0.25">
      <c r="A55" s="216">
        <v>7</v>
      </c>
      <c r="B55" s="216" t="s">
        <v>146</v>
      </c>
      <c r="C55" s="216">
        <v>0.3</v>
      </c>
      <c r="D55" s="216">
        <v>22.69</v>
      </c>
      <c r="E55" s="216">
        <v>77.009999999999991</v>
      </c>
      <c r="F55" s="216">
        <v>40</v>
      </c>
      <c r="G55" s="216">
        <v>25</v>
      </c>
      <c r="H55" s="216" t="s">
        <v>184</v>
      </c>
      <c r="I55" s="216" t="s">
        <v>184</v>
      </c>
      <c r="J55">
        <f t="shared" si="0"/>
        <v>3</v>
      </c>
    </row>
    <row r="56" spans="1:10" x14ac:dyDescent="0.25">
      <c r="A56" s="216">
        <v>7</v>
      </c>
      <c r="B56" s="216" t="s">
        <v>214</v>
      </c>
      <c r="C56" s="216">
        <v>4.5999999999999996</v>
      </c>
      <c r="D56" s="216">
        <v>70.319999999999993</v>
      </c>
      <c r="E56" s="216">
        <v>25.08</v>
      </c>
      <c r="F56" s="216">
        <v>38</v>
      </c>
      <c r="G56" s="216">
        <v>26</v>
      </c>
      <c r="H56" s="216" t="s">
        <v>184</v>
      </c>
      <c r="I56" s="216" t="s">
        <v>184</v>
      </c>
      <c r="J56">
        <f t="shared" si="0"/>
        <v>4</v>
      </c>
    </row>
    <row r="57" spans="1:10" x14ac:dyDescent="0.25">
      <c r="A57" s="216">
        <v>8</v>
      </c>
      <c r="B57" s="216" t="s">
        <v>146</v>
      </c>
      <c r="C57" s="216">
        <v>1.2</v>
      </c>
      <c r="D57" s="216">
        <v>41.67</v>
      </c>
      <c r="E57" s="216">
        <v>57.13</v>
      </c>
      <c r="F57" s="216">
        <v>55</v>
      </c>
      <c r="G57" s="216">
        <v>27</v>
      </c>
      <c r="H57" s="216" t="s">
        <v>184</v>
      </c>
      <c r="I57" s="216" t="s">
        <v>184</v>
      </c>
      <c r="J57">
        <f t="shared" si="0"/>
        <v>5</v>
      </c>
    </row>
    <row r="58" spans="1:10" x14ac:dyDescent="0.25">
      <c r="A58" s="216">
        <v>13</v>
      </c>
      <c r="B58" s="216" t="s">
        <v>192</v>
      </c>
      <c r="C58" s="216">
        <v>0.7</v>
      </c>
      <c r="D58" s="216">
        <v>58.66</v>
      </c>
      <c r="E58" s="216">
        <v>40.64</v>
      </c>
      <c r="F58" s="216">
        <v>67</v>
      </c>
      <c r="G58" s="216">
        <v>36</v>
      </c>
      <c r="H58" s="216" t="s">
        <v>184</v>
      </c>
      <c r="I58" s="216" t="s">
        <v>184</v>
      </c>
      <c r="J58">
        <f t="shared" si="0"/>
        <v>6</v>
      </c>
    </row>
    <row r="59" spans="1:10" x14ac:dyDescent="0.25">
      <c r="A59" s="216">
        <v>15</v>
      </c>
      <c r="B59" s="216" t="s">
        <v>215</v>
      </c>
      <c r="C59" s="216">
        <v>8.1</v>
      </c>
      <c r="D59" s="216">
        <v>53.53</v>
      </c>
      <c r="E59" s="216">
        <v>38.369999999999997</v>
      </c>
      <c r="F59" s="216">
        <v>44</v>
      </c>
      <c r="G59" s="216">
        <v>19</v>
      </c>
      <c r="H59" s="216" t="s">
        <v>184</v>
      </c>
      <c r="I59" s="216" t="s">
        <v>184</v>
      </c>
      <c r="J59">
        <f t="shared" si="0"/>
        <v>7</v>
      </c>
    </row>
    <row r="60" spans="1:10" x14ac:dyDescent="0.25">
      <c r="A60" s="216">
        <v>15</v>
      </c>
      <c r="B60" s="216" t="s">
        <v>203</v>
      </c>
      <c r="C60" s="216">
        <v>0.7</v>
      </c>
      <c r="D60" s="216">
        <v>68</v>
      </c>
      <c r="E60" s="216">
        <v>31.29</v>
      </c>
      <c r="F60" s="216">
        <v>65</v>
      </c>
      <c r="G60" s="216">
        <v>32</v>
      </c>
      <c r="H60" s="216" t="s">
        <v>184</v>
      </c>
      <c r="I60" s="216" t="s">
        <v>184</v>
      </c>
      <c r="J60">
        <f t="shared" si="0"/>
        <v>8</v>
      </c>
    </row>
    <row r="61" spans="1:10" x14ac:dyDescent="0.25">
      <c r="A61" s="216">
        <v>19</v>
      </c>
      <c r="B61" s="216" t="s">
        <v>187</v>
      </c>
      <c r="C61" s="216">
        <v>2.1</v>
      </c>
      <c r="D61" s="216">
        <v>64.81</v>
      </c>
      <c r="E61" s="216">
        <v>33.090000000000003</v>
      </c>
      <c r="F61" s="216">
        <v>39</v>
      </c>
      <c r="G61" s="216">
        <v>22</v>
      </c>
      <c r="H61" s="216" t="s">
        <v>184</v>
      </c>
      <c r="I61" s="216" t="s">
        <v>184</v>
      </c>
      <c r="J61">
        <f t="shared" si="0"/>
        <v>9</v>
      </c>
    </row>
    <row r="62" spans="1:10" x14ac:dyDescent="0.25">
      <c r="A62" s="216">
        <v>20</v>
      </c>
      <c r="B62" s="216" t="s">
        <v>196</v>
      </c>
      <c r="C62" s="216">
        <v>7.8</v>
      </c>
      <c r="D62" s="216">
        <v>69.28</v>
      </c>
      <c r="E62" s="216">
        <v>22.92</v>
      </c>
      <c r="F62" s="216">
        <v>36</v>
      </c>
      <c r="G62" s="216">
        <v>21</v>
      </c>
      <c r="H62" s="216" t="s">
        <v>184</v>
      </c>
      <c r="I62" s="216" t="s">
        <v>184</v>
      </c>
      <c r="J62">
        <f t="shared" si="0"/>
        <v>10</v>
      </c>
    </row>
    <row r="63" spans="1:10" x14ac:dyDescent="0.25">
      <c r="A63" s="216">
        <v>21</v>
      </c>
      <c r="B63" s="216" t="s">
        <v>186</v>
      </c>
      <c r="C63" s="216">
        <v>17.8</v>
      </c>
      <c r="D63" s="216">
        <v>65.88</v>
      </c>
      <c r="E63" s="216">
        <v>16.32</v>
      </c>
      <c r="F63" s="216">
        <v>37</v>
      </c>
      <c r="G63" s="216">
        <v>23</v>
      </c>
      <c r="H63" s="216">
        <v>1.92</v>
      </c>
      <c r="I63" s="216">
        <v>22</v>
      </c>
      <c r="J63">
        <f t="shared" si="0"/>
        <v>11</v>
      </c>
    </row>
    <row r="64" spans="1:10" x14ac:dyDescent="0.25">
      <c r="A64" s="216">
        <v>22</v>
      </c>
      <c r="B64" s="216" t="s">
        <v>215</v>
      </c>
      <c r="C64" s="216">
        <v>2.4</v>
      </c>
      <c r="D64" s="216">
        <v>67.23</v>
      </c>
      <c r="E64" s="216">
        <v>30.37</v>
      </c>
      <c r="F64" s="216">
        <v>38</v>
      </c>
      <c r="G64" s="216">
        <v>23</v>
      </c>
      <c r="H64" s="216" t="s">
        <v>184</v>
      </c>
      <c r="I64" s="216" t="s">
        <v>184</v>
      </c>
      <c r="J64">
        <f t="shared" si="0"/>
        <v>12</v>
      </c>
    </row>
    <row r="65" spans="1:10" x14ac:dyDescent="0.25">
      <c r="A65" s="216">
        <v>29</v>
      </c>
      <c r="B65" s="216" t="s">
        <v>187</v>
      </c>
      <c r="C65" s="216">
        <v>4.5</v>
      </c>
      <c r="D65" s="216">
        <v>56.58</v>
      </c>
      <c r="E65" s="216">
        <v>38.92</v>
      </c>
      <c r="F65" s="216">
        <v>54</v>
      </c>
      <c r="G65" s="216">
        <v>32</v>
      </c>
      <c r="H65" s="216" t="s">
        <v>184</v>
      </c>
      <c r="I65" s="216" t="s">
        <v>184</v>
      </c>
      <c r="J65">
        <f t="shared" si="0"/>
        <v>13</v>
      </c>
    </row>
    <row r="66" spans="1:10" x14ac:dyDescent="0.25">
      <c r="A66" s="216">
        <v>34</v>
      </c>
      <c r="B66" s="216" t="s">
        <v>146</v>
      </c>
      <c r="C66" s="216">
        <v>3.1999999999999997</v>
      </c>
      <c r="D66" s="216">
        <v>61.77</v>
      </c>
      <c r="E66" s="216">
        <v>35.03</v>
      </c>
      <c r="F66" s="216">
        <v>37</v>
      </c>
      <c r="G66" s="216">
        <v>24</v>
      </c>
      <c r="H66" s="216" t="s">
        <v>184</v>
      </c>
      <c r="I66" s="216" t="s">
        <v>184</v>
      </c>
      <c r="J66">
        <f t="shared" si="0"/>
        <v>14</v>
      </c>
    </row>
    <row r="67" spans="1:10" x14ac:dyDescent="0.25">
      <c r="A67" s="216">
        <v>35</v>
      </c>
      <c r="B67" s="216" t="s">
        <v>189</v>
      </c>
      <c r="C67" s="216">
        <v>3.9</v>
      </c>
      <c r="D67" s="216">
        <v>64.2</v>
      </c>
      <c r="E67" s="216">
        <v>31.9</v>
      </c>
      <c r="F67" s="216">
        <v>37</v>
      </c>
      <c r="G67" s="216">
        <v>20</v>
      </c>
      <c r="H67" s="216" t="s">
        <v>184</v>
      </c>
      <c r="I67" s="216" t="s">
        <v>184</v>
      </c>
      <c r="J67">
        <f t="shared" si="0"/>
        <v>15</v>
      </c>
    </row>
    <row r="68" spans="1:10" x14ac:dyDescent="0.25">
      <c r="A68" s="216">
        <v>32</v>
      </c>
      <c r="B68" s="216" t="s">
        <v>146</v>
      </c>
      <c r="C68" s="216">
        <v>1.8</v>
      </c>
      <c r="D68" s="216">
        <v>62.5</v>
      </c>
      <c r="E68" s="216">
        <v>35.700000000000003</v>
      </c>
      <c r="F68" s="216">
        <v>42</v>
      </c>
      <c r="G68" s="216">
        <v>26</v>
      </c>
      <c r="H68" s="216" t="s">
        <v>184</v>
      </c>
      <c r="I68" s="216" t="s">
        <v>184</v>
      </c>
      <c r="J68">
        <f t="shared" ref="J68:J131" si="1">J67+1</f>
        <v>16</v>
      </c>
    </row>
    <row r="69" spans="1:10" x14ac:dyDescent="0.25">
      <c r="A69" s="216">
        <v>37</v>
      </c>
      <c r="B69" s="216" t="s">
        <v>191</v>
      </c>
      <c r="C69" s="216">
        <v>0.6</v>
      </c>
      <c r="D69" s="216">
        <v>37.1</v>
      </c>
      <c r="E69" s="216">
        <v>62.31</v>
      </c>
      <c r="F69" s="216">
        <v>48</v>
      </c>
      <c r="G69" s="216">
        <v>24</v>
      </c>
      <c r="H69" s="216" t="s">
        <v>184</v>
      </c>
      <c r="I69" s="216" t="s">
        <v>184</v>
      </c>
      <c r="J69">
        <f t="shared" si="1"/>
        <v>17</v>
      </c>
    </row>
    <row r="70" spans="1:10" x14ac:dyDescent="0.25">
      <c r="A70" s="216">
        <v>41</v>
      </c>
      <c r="B70" s="216" t="s">
        <v>200</v>
      </c>
      <c r="C70" s="216">
        <v>4.7</v>
      </c>
      <c r="D70" s="216">
        <v>68.37</v>
      </c>
      <c r="E70" s="216">
        <v>26.93</v>
      </c>
      <c r="F70" s="216">
        <v>40</v>
      </c>
      <c r="G70" s="216">
        <v>23</v>
      </c>
      <c r="H70" s="216" t="s">
        <v>184</v>
      </c>
      <c r="I70" s="216" t="s">
        <v>184</v>
      </c>
      <c r="J70">
        <f t="shared" si="1"/>
        <v>18</v>
      </c>
    </row>
    <row r="71" spans="1:10" x14ac:dyDescent="0.25">
      <c r="A71" s="216">
        <v>42</v>
      </c>
      <c r="B71" s="216" t="s">
        <v>207</v>
      </c>
      <c r="C71" s="216">
        <v>1.4</v>
      </c>
      <c r="D71" s="216">
        <v>64.52</v>
      </c>
      <c r="E71" s="216">
        <v>34.08</v>
      </c>
      <c r="F71" s="216">
        <v>43</v>
      </c>
      <c r="G71" s="216">
        <v>26</v>
      </c>
      <c r="H71" s="216" t="s">
        <v>184</v>
      </c>
      <c r="I71" s="216" t="s">
        <v>184</v>
      </c>
      <c r="J71">
        <f t="shared" si="1"/>
        <v>19</v>
      </c>
    </row>
    <row r="72" spans="1:10" x14ac:dyDescent="0.25">
      <c r="A72" s="216">
        <v>1</v>
      </c>
      <c r="B72" s="216" t="s">
        <v>146</v>
      </c>
      <c r="C72" s="216">
        <v>18.900000000000002</v>
      </c>
      <c r="D72" s="216">
        <v>39.43</v>
      </c>
      <c r="E72" s="216">
        <v>41.67</v>
      </c>
      <c r="F72" s="216">
        <v>39</v>
      </c>
      <c r="G72" s="216">
        <v>21</v>
      </c>
      <c r="H72" s="216" t="s">
        <v>184</v>
      </c>
      <c r="I72" s="216" t="s">
        <v>184</v>
      </c>
      <c r="J72">
        <f t="shared" si="1"/>
        <v>20</v>
      </c>
    </row>
    <row r="73" spans="1:10" x14ac:dyDescent="0.25">
      <c r="A73" s="216">
        <v>3</v>
      </c>
      <c r="B73" s="216" t="s">
        <v>217</v>
      </c>
      <c r="C73" s="216">
        <v>18.7</v>
      </c>
      <c r="D73" s="216">
        <v>41.15</v>
      </c>
      <c r="E73" s="216">
        <v>40.15</v>
      </c>
      <c r="F73" s="216">
        <v>62</v>
      </c>
      <c r="G73" s="216">
        <v>33</v>
      </c>
      <c r="H73" s="216" t="s">
        <v>184</v>
      </c>
      <c r="I73" s="216" t="s">
        <v>184</v>
      </c>
      <c r="J73">
        <f t="shared" si="1"/>
        <v>21</v>
      </c>
    </row>
    <row r="74" spans="1:10" x14ac:dyDescent="0.25">
      <c r="A74" s="216">
        <v>4</v>
      </c>
      <c r="B74" s="216" t="s">
        <v>218</v>
      </c>
      <c r="C74" s="216">
        <v>8</v>
      </c>
      <c r="D74" s="216">
        <v>65.8</v>
      </c>
      <c r="E74" s="216">
        <v>26.200000000000003</v>
      </c>
      <c r="F74" s="216">
        <v>38</v>
      </c>
      <c r="G74" s="216">
        <v>22</v>
      </c>
      <c r="H74" s="216" t="s">
        <v>184</v>
      </c>
      <c r="I74" s="216" t="s">
        <v>184</v>
      </c>
      <c r="J74">
        <f t="shared" si="1"/>
        <v>22</v>
      </c>
    </row>
    <row r="75" spans="1:10" x14ac:dyDescent="0.25">
      <c r="A75" s="216">
        <v>5</v>
      </c>
      <c r="B75" s="216" t="s">
        <v>203</v>
      </c>
      <c r="C75" s="216">
        <v>9.0999999999999979</v>
      </c>
      <c r="D75" s="216">
        <v>40.28</v>
      </c>
      <c r="E75" s="216">
        <v>50.62</v>
      </c>
      <c r="F75" s="216">
        <v>48</v>
      </c>
      <c r="G75" s="216">
        <v>24</v>
      </c>
      <c r="H75" s="216" t="s">
        <v>184</v>
      </c>
      <c r="I75" s="216" t="s">
        <v>184</v>
      </c>
      <c r="J75">
        <f t="shared" si="1"/>
        <v>23</v>
      </c>
    </row>
    <row r="76" spans="1:10" x14ac:dyDescent="0.25">
      <c r="A76" s="216">
        <v>6</v>
      </c>
      <c r="B76" s="216" t="s">
        <v>219</v>
      </c>
      <c r="C76" s="216">
        <v>2.2999999999999998</v>
      </c>
      <c r="D76" s="216">
        <v>60.76</v>
      </c>
      <c r="E76" s="216">
        <v>36.950000000000003</v>
      </c>
      <c r="F76" s="216">
        <v>48</v>
      </c>
      <c r="G76" s="216">
        <v>27</v>
      </c>
      <c r="H76" s="216" t="s">
        <v>184</v>
      </c>
      <c r="I76" s="216" t="s">
        <v>184</v>
      </c>
      <c r="J76">
        <f t="shared" si="1"/>
        <v>24</v>
      </c>
    </row>
    <row r="77" spans="1:10" x14ac:dyDescent="0.25">
      <c r="A77" s="216">
        <v>8</v>
      </c>
      <c r="B77" s="216" t="s">
        <v>203</v>
      </c>
      <c r="C77" s="216">
        <v>2</v>
      </c>
      <c r="D77" s="216">
        <v>48.16</v>
      </c>
      <c r="E77" s="216">
        <v>49.839999999999996</v>
      </c>
      <c r="F77" s="216">
        <v>56</v>
      </c>
      <c r="G77" s="216">
        <v>31</v>
      </c>
      <c r="H77" s="216" t="s">
        <v>184</v>
      </c>
      <c r="I77" s="216" t="s">
        <v>184</v>
      </c>
      <c r="J77">
        <f t="shared" si="1"/>
        <v>25</v>
      </c>
    </row>
    <row r="78" spans="1:10" x14ac:dyDescent="0.25">
      <c r="A78" s="216">
        <v>8</v>
      </c>
      <c r="B78" s="216" t="s">
        <v>220</v>
      </c>
      <c r="C78" s="216">
        <v>19</v>
      </c>
      <c r="D78" s="216">
        <v>41.91</v>
      </c>
      <c r="E78" s="216">
        <v>39.090000000000003</v>
      </c>
      <c r="F78" s="216">
        <v>54</v>
      </c>
      <c r="G78" s="216">
        <v>25</v>
      </c>
      <c r="H78" s="216" t="s">
        <v>184</v>
      </c>
      <c r="I78" s="216" t="s">
        <v>184</v>
      </c>
      <c r="J78">
        <f t="shared" si="1"/>
        <v>26</v>
      </c>
    </row>
    <row r="79" spans="1:10" x14ac:dyDescent="0.25">
      <c r="A79" s="216">
        <v>10</v>
      </c>
      <c r="B79" s="216" t="s">
        <v>221</v>
      </c>
      <c r="C79" s="216">
        <v>3.9</v>
      </c>
      <c r="D79" s="216">
        <v>51.52</v>
      </c>
      <c r="E79" s="216">
        <v>44.58</v>
      </c>
      <c r="F79" s="216">
        <v>48</v>
      </c>
      <c r="G79" s="216">
        <v>27</v>
      </c>
      <c r="H79" s="216" t="s">
        <v>184</v>
      </c>
      <c r="I79" s="216" t="s">
        <v>184</v>
      </c>
      <c r="J79">
        <f t="shared" si="1"/>
        <v>27</v>
      </c>
    </row>
    <row r="80" spans="1:10" x14ac:dyDescent="0.25">
      <c r="A80" s="216">
        <v>12</v>
      </c>
      <c r="B80" s="216" t="s">
        <v>203</v>
      </c>
      <c r="C80" s="216">
        <v>34.6</v>
      </c>
      <c r="D80" s="216">
        <v>48.81</v>
      </c>
      <c r="E80" s="216">
        <v>16.600000000000001</v>
      </c>
      <c r="F80" s="216">
        <v>22</v>
      </c>
      <c r="G80" s="216">
        <v>17</v>
      </c>
      <c r="H80" s="216">
        <v>4.45</v>
      </c>
      <c r="I80" s="216">
        <v>65</v>
      </c>
      <c r="J80">
        <f t="shared" si="1"/>
        <v>28</v>
      </c>
    </row>
    <row r="81" spans="1:10" x14ac:dyDescent="0.25">
      <c r="A81" s="216">
        <v>13</v>
      </c>
      <c r="B81" s="216" t="s">
        <v>222</v>
      </c>
      <c r="C81" s="216">
        <v>12.9</v>
      </c>
      <c r="D81" s="216">
        <v>56.32</v>
      </c>
      <c r="E81" s="216">
        <v>30.78</v>
      </c>
      <c r="F81" s="216">
        <v>48</v>
      </c>
      <c r="G81" s="216">
        <v>25</v>
      </c>
      <c r="H81" s="216">
        <v>1.0900000000000001</v>
      </c>
      <c r="I81" s="216">
        <v>23</v>
      </c>
      <c r="J81">
        <f t="shared" si="1"/>
        <v>29</v>
      </c>
    </row>
    <row r="82" spans="1:10" x14ac:dyDescent="0.25">
      <c r="A82" s="216">
        <v>14</v>
      </c>
      <c r="B82" s="216" t="s">
        <v>203</v>
      </c>
      <c r="C82" s="216">
        <v>0.5</v>
      </c>
      <c r="D82" s="216">
        <v>48.3</v>
      </c>
      <c r="E82" s="216">
        <v>51.2</v>
      </c>
      <c r="F82" s="216">
        <v>59</v>
      </c>
      <c r="G82" s="216">
        <v>30</v>
      </c>
      <c r="H82" s="216" t="s">
        <v>184</v>
      </c>
      <c r="I82" s="216" t="s">
        <v>184</v>
      </c>
      <c r="J82">
        <f t="shared" si="1"/>
        <v>30</v>
      </c>
    </row>
    <row r="83" spans="1:10" x14ac:dyDescent="0.25">
      <c r="A83" s="216">
        <v>15</v>
      </c>
      <c r="B83" s="216" t="s">
        <v>223</v>
      </c>
      <c r="C83" s="216">
        <v>25.599999999999998</v>
      </c>
      <c r="D83" s="216">
        <v>51.74</v>
      </c>
      <c r="E83" s="216">
        <v>22.66</v>
      </c>
      <c r="F83" s="216">
        <v>31</v>
      </c>
      <c r="G83" s="216">
        <v>21</v>
      </c>
      <c r="H83" s="216" t="s">
        <v>184</v>
      </c>
      <c r="I83" s="216" t="s">
        <v>184</v>
      </c>
      <c r="J83">
        <f t="shared" si="1"/>
        <v>31</v>
      </c>
    </row>
    <row r="84" spans="1:10" x14ac:dyDescent="0.25">
      <c r="A84" s="216">
        <v>16</v>
      </c>
      <c r="B84" s="216" t="s">
        <v>203</v>
      </c>
      <c r="C84" s="216">
        <v>8</v>
      </c>
      <c r="D84" s="216">
        <v>51.08</v>
      </c>
      <c r="E84" s="216">
        <v>40.92</v>
      </c>
      <c r="F84" s="216">
        <v>51</v>
      </c>
      <c r="G84" s="216">
        <v>27</v>
      </c>
      <c r="H84" s="216" t="s">
        <v>184</v>
      </c>
      <c r="I84" s="216" t="s">
        <v>184</v>
      </c>
      <c r="J84">
        <f t="shared" si="1"/>
        <v>32</v>
      </c>
    </row>
    <row r="85" spans="1:10" x14ac:dyDescent="0.25">
      <c r="A85" s="216">
        <v>17</v>
      </c>
      <c r="B85" s="216" t="s">
        <v>203</v>
      </c>
      <c r="C85" s="216">
        <v>12</v>
      </c>
      <c r="D85" s="216">
        <v>44.35</v>
      </c>
      <c r="E85" s="216">
        <v>43.65</v>
      </c>
      <c r="F85" s="216">
        <v>41</v>
      </c>
      <c r="G85" s="216">
        <v>20</v>
      </c>
      <c r="H85" s="216" t="s">
        <v>184</v>
      </c>
      <c r="I85" s="216" t="s">
        <v>184</v>
      </c>
      <c r="J85">
        <f t="shared" si="1"/>
        <v>33</v>
      </c>
    </row>
    <row r="86" spans="1:10" x14ac:dyDescent="0.25">
      <c r="A86" s="216">
        <v>17</v>
      </c>
      <c r="B86" s="216" t="s">
        <v>199</v>
      </c>
      <c r="C86" s="216">
        <v>29.700000000000003</v>
      </c>
      <c r="D86" s="216">
        <v>44.56</v>
      </c>
      <c r="E86" s="216">
        <v>25.740000000000002</v>
      </c>
      <c r="F86" s="216">
        <v>37</v>
      </c>
      <c r="G86" s="216">
        <v>18</v>
      </c>
      <c r="H86" s="216">
        <v>0.92</v>
      </c>
      <c r="I86" s="216">
        <v>53</v>
      </c>
      <c r="J86">
        <f t="shared" si="1"/>
        <v>34</v>
      </c>
    </row>
    <row r="87" spans="1:10" x14ac:dyDescent="0.25">
      <c r="A87" s="216">
        <v>18</v>
      </c>
      <c r="B87" s="216" t="s">
        <v>224</v>
      </c>
      <c r="C87" s="216">
        <v>6.5</v>
      </c>
      <c r="D87" s="216">
        <v>49.6</v>
      </c>
      <c r="E87" s="216">
        <v>43.9</v>
      </c>
      <c r="F87" s="216">
        <v>59</v>
      </c>
      <c r="G87" s="216">
        <v>28</v>
      </c>
      <c r="H87" s="216" t="s">
        <v>184</v>
      </c>
      <c r="I87" s="216" t="s">
        <v>184</v>
      </c>
      <c r="J87">
        <f t="shared" si="1"/>
        <v>35</v>
      </c>
    </row>
    <row r="88" spans="1:10" x14ac:dyDescent="0.25">
      <c r="A88" s="216">
        <v>19</v>
      </c>
      <c r="B88" s="216" t="s">
        <v>203</v>
      </c>
      <c r="C88" s="216">
        <v>12.700000000000001</v>
      </c>
      <c r="D88" s="216">
        <v>62.29</v>
      </c>
      <c r="E88" s="216">
        <v>25.02</v>
      </c>
      <c r="F88" s="216">
        <v>42</v>
      </c>
      <c r="G88" s="216">
        <v>17</v>
      </c>
      <c r="H88" s="216">
        <v>2.4</v>
      </c>
      <c r="I88" s="216">
        <v>15</v>
      </c>
      <c r="J88">
        <f t="shared" si="1"/>
        <v>36</v>
      </c>
    </row>
    <row r="89" spans="1:10" x14ac:dyDescent="0.25">
      <c r="A89" s="216">
        <v>20</v>
      </c>
      <c r="B89" s="216" t="s">
        <v>204</v>
      </c>
      <c r="C89" s="216">
        <v>4.4000000000000004</v>
      </c>
      <c r="D89" s="216">
        <v>45.54</v>
      </c>
      <c r="E89" s="216">
        <v>50.06</v>
      </c>
      <c r="F89" s="216">
        <v>53</v>
      </c>
      <c r="G89" s="216">
        <v>26</v>
      </c>
      <c r="H89" s="216" t="s">
        <v>184</v>
      </c>
      <c r="I89" s="216" t="s">
        <v>184</v>
      </c>
      <c r="J89">
        <f t="shared" si="1"/>
        <v>37</v>
      </c>
    </row>
    <row r="90" spans="1:10" x14ac:dyDescent="0.25">
      <c r="A90" s="216">
        <v>21</v>
      </c>
      <c r="B90" s="216" t="s">
        <v>220</v>
      </c>
      <c r="C90" s="216">
        <v>10.700000000000001</v>
      </c>
      <c r="D90" s="216">
        <v>46.06</v>
      </c>
      <c r="E90" s="216">
        <v>43.24</v>
      </c>
      <c r="F90" s="216">
        <v>43</v>
      </c>
      <c r="G90" s="216">
        <v>23</v>
      </c>
      <c r="H90" s="216" t="s">
        <v>184</v>
      </c>
      <c r="I90" s="216" t="s">
        <v>184</v>
      </c>
      <c r="J90">
        <f t="shared" si="1"/>
        <v>38</v>
      </c>
    </row>
    <row r="91" spans="1:10" x14ac:dyDescent="0.25">
      <c r="A91" s="216">
        <v>22</v>
      </c>
      <c r="B91" s="216" t="s">
        <v>146</v>
      </c>
      <c r="C91" s="216">
        <v>31.599999999999998</v>
      </c>
      <c r="D91" s="216">
        <v>45.13</v>
      </c>
      <c r="E91" s="216">
        <v>23.27</v>
      </c>
      <c r="F91" s="216">
        <v>31</v>
      </c>
      <c r="G91" s="216">
        <v>19</v>
      </c>
      <c r="H91" s="216" t="s">
        <v>184</v>
      </c>
      <c r="I91" s="216" t="s">
        <v>184</v>
      </c>
      <c r="J91">
        <f t="shared" si="1"/>
        <v>39</v>
      </c>
    </row>
    <row r="92" spans="1:10" x14ac:dyDescent="0.25">
      <c r="A92" s="216">
        <v>24</v>
      </c>
      <c r="B92" s="216" t="s">
        <v>203</v>
      </c>
      <c r="C92" s="216">
        <v>3.4</v>
      </c>
      <c r="D92" s="216">
        <v>45.2</v>
      </c>
      <c r="E92" s="216">
        <v>51.4</v>
      </c>
      <c r="F92" s="216">
        <v>46</v>
      </c>
      <c r="G92" s="216">
        <v>25</v>
      </c>
      <c r="H92" s="216" t="s">
        <v>184</v>
      </c>
      <c r="I92" s="216" t="s">
        <v>184</v>
      </c>
      <c r="J92">
        <f t="shared" si="1"/>
        <v>40</v>
      </c>
    </row>
    <row r="93" spans="1:10" x14ac:dyDescent="0.25">
      <c r="A93" s="216">
        <v>24</v>
      </c>
      <c r="B93" s="216" t="s">
        <v>224</v>
      </c>
      <c r="C93" s="216">
        <v>2.2000000000000002</v>
      </c>
      <c r="D93" s="216">
        <v>56.58</v>
      </c>
      <c r="E93" s="216">
        <v>41.22</v>
      </c>
      <c r="F93" s="216">
        <v>43</v>
      </c>
      <c r="G93" s="216">
        <v>24</v>
      </c>
      <c r="H93" s="216" t="s">
        <v>184</v>
      </c>
      <c r="I93" s="216" t="s">
        <v>184</v>
      </c>
      <c r="J93">
        <f t="shared" si="1"/>
        <v>41</v>
      </c>
    </row>
    <row r="94" spans="1:10" x14ac:dyDescent="0.25">
      <c r="A94" s="216">
        <v>26</v>
      </c>
      <c r="B94" s="216" t="s">
        <v>226</v>
      </c>
      <c r="C94" s="216">
        <v>15.299999999999999</v>
      </c>
      <c r="D94" s="216">
        <v>52.24</v>
      </c>
      <c r="E94" s="216">
        <v>32.450000000000003</v>
      </c>
      <c r="F94" s="216">
        <v>49</v>
      </c>
      <c r="G94" s="216">
        <v>24</v>
      </c>
      <c r="H94" s="216" t="s">
        <v>184</v>
      </c>
      <c r="I94" s="216" t="s">
        <v>184</v>
      </c>
      <c r="J94">
        <f t="shared" si="1"/>
        <v>42</v>
      </c>
    </row>
    <row r="95" spans="1:10" x14ac:dyDescent="0.25">
      <c r="A95" s="216">
        <v>28</v>
      </c>
      <c r="B95" s="216" t="s">
        <v>203</v>
      </c>
      <c r="C95" s="216">
        <v>1.5</v>
      </c>
      <c r="D95" s="216">
        <v>48.03</v>
      </c>
      <c r="E95" s="216">
        <v>50.47</v>
      </c>
      <c r="F95" s="216">
        <v>44</v>
      </c>
      <c r="G95" s="216">
        <v>26</v>
      </c>
      <c r="H95" s="216" t="s">
        <v>184</v>
      </c>
      <c r="I95" s="216" t="s">
        <v>184</v>
      </c>
      <c r="J95">
        <f t="shared" si="1"/>
        <v>43</v>
      </c>
    </row>
    <row r="96" spans="1:10" x14ac:dyDescent="0.25">
      <c r="A96" s="216">
        <v>29</v>
      </c>
      <c r="B96" s="216" t="s">
        <v>203</v>
      </c>
      <c r="C96" s="216">
        <v>20.700000000000003</v>
      </c>
      <c r="D96" s="216">
        <v>58.34</v>
      </c>
      <c r="E96" s="216">
        <v>20.96</v>
      </c>
      <c r="F96" s="216">
        <v>31</v>
      </c>
      <c r="G96" s="216">
        <v>20</v>
      </c>
      <c r="H96" s="216">
        <v>2.77</v>
      </c>
      <c r="I96" s="216">
        <v>52</v>
      </c>
      <c r="J96">
        <f t="shared" si="1"/>
        <v>44</v>
      </c>
    </row>
    <row r="97" spans="1:10" x14ac:dyDescent="0.25">
      <c r="A97" s="216">
        <v>31</v>
      </c>
      <c r="B97" s="216" t="s">
        <v>227</v>
      </c>
      <c r="C97" s="216">
        <v>23.799999999999997</v>
      </c>
      <c r="D97" s="216">
        <v>54.82</v>
      </c>
      <c r="E97" s="216">
        <v>21.39</v>
      </c>
      <c r="F97" s="216">
        <v>33</v>
      </c>
      <c r="G97" s="216">
        <v>22</v>
      </c>
      <c r="H97" s="216">
        <v>2.04</v>
      </c>
      <c r="I97" s="216">
        <v>49</v>
      </c>
      <c r="J97">
        <f t="shared" si="1"/>
        <v>45</v>
      </c>
    </row>
    <row r="98" spans="1:10" x14ac:dyDescent="0.25">
      <c r="A98" s="216">
        <v>31</v>
      </c>
      <c r="B98" s="216" t="s">
        <v>228</v>
      </c>
      <c r="C98" s="216">
        <v>6.9</v>
      </c>
      <c r="D98" s="216">
        <v>56.56</v>
      </c>
      <c r="E98" s="216">
        <v>36.54</v>
      </c>
      <c r="F98" s="216">
        <v>53</v>
      </c>
      <c r="G98" s="216">
        <v>26</v>
      </c>
      <c r="H98" s="216" t="s">
        <v>184</v>
      </c>
      <c r="I98" s="216" t="s">
        <v>184</v>
      </c>
      <c r="J98">
        <f t="shared" si="1"/>
        <v>46</v>
      </c>
    </row>
    <row r="99" spans="1:10" x14ac:dyDescent="0.25">
      <c r="A99" s="216">
        <v>33</v>
      </c>
      <c r="B99" s="216" t="s">
        <v>203</v>
      </c>
      <c r="C99" s="216">
        <v>22.8</v>
      </c>
      <c r="D99" s="216">
        <v>55.13</v>
      </c>
      <c r="E99" s="216">
        <v>22.07</v>
      </c>
      <c r="F99" s="216">
        <v>30</v>
      </c>
      <c r="G99" s="216">
        <v>19</v>
      </c>
      <c r="H99" s="216" t="s">
        <v>184</v>
      </c>
      <c r="I99" s="216" t="s">
        <v>184</v>
      </c>
      <c r="J99">
        <f t="shared" si="1"/>
        <v>47</v>
      </c>
    </row>
    <row r="100" spans="1:10" x14ac:dyDescent="0.25">
      <c r="A100" s="216">
        <v>35</v>
      </c>
      <c r="B100" s="216" t="s">
        <v>203</v>
      </c>
      <c r="C100" s="216">
        <v>0.6</v>
      </c>
      <c r="D100" s="216">
        <v>29.3</v>
      </c>
      <c r="E100" s="216">
        <v>70.099999999999994</v>
      </c>
      <c r="F100" s="216">
        <v>58</v>
      </c>
      <c r="G100" s="216">
        <v>29</v>
      </c>
      <c r="H100" s="216" t="s">
        <v>184</v>
      </c>
      <c r="I100" s="216" t="s">
        <v>184</v>
      </c>
      <c r="J100">
        <f t="shared" si="1"/>
        <v>48</v>
      </c>
    </row>
    <row r="101" spans="1:10" x14ac:dyDescent="0.25">
      <c r="A101" s="216">
        <v>35</v>
      </c>
      <c r="B101" s="216" t="s">
        <v>197</v>
      </c>
      <c r="C101" s="216">
        <v>5.0999999999999996</v>
      </c>
      <c r="D101" s="216">
        <v>55.32</v>
      </c>
      <c r="E101" s="216">
        <v>39.58</v>
      </c>
      <c r="F101" s="216">
        <v>50</v>
      </c>
      <c r="G101" s="216">
        <v>25</v>
      </c>
      <c r="H101" s="216">
        <v>0.9</v>
      </c>
      <c r="I101" s="216">
        <v>10</v>
      </c>
      <c r="J101">
        <f t="shared" si="1"/>
        <v>49</v>
      </c>
    </row>
    <row r="102" spans="1:10" x14ac:dyDescent="0.25">
      <c r="A102" s="216">
        <v>37</v>
      </c>
      <c r="B102" s="216" t="s">
        <v>203</v>
      </c>
      <c r="C102" s="216">
        <v>24.4</v>
      </c>
      <c r="D102" s="216">
        <v>38.04</v>
      </c>
      <c r="E102" s="216">
        <v>37.56</v>
      </c>
      <c r="F102" s="216">
        <v>33</v>
      </c>
      <c r="G102" s="216">
        <v>23</v>
      </c>
      <c r="H102" s="216" t="s">
        <v>184</v>
      </c>
      <c r="I102" s="216" t="s">
        <v>184</v>
      </c>
      <c r="J102">
        <f t="shared" si="1"/>
        <v>50</v>
      </c>
    </row>
    <row r="103" spans="1:10" x14ac:dyDescent="0.25">
      <c r="A103" s="216">
        <v>37</v>
      </c>
      <c r="B103" s="216" t="s">
        <v>228</v>
      </c>
      <c r="C103" s="216">
        <v>2.4</v>
      </c>
      <c r="D103" s="216">
        <v>55.39</v>
      </c>
      <c r="E103" s="216">
        <v>42.21</v>
      </c>
      <c r="F103" s="216">
        <v>48</v>
      </c>
      <c r="G103" s="216">
        <v>23</v>
      </c>
      <c r="H103" s="216" t="s">
        <v>184</v>
      </c>
      <c r="I103" s="216" t="s">
        <v>184</v>
      </c>
      <c r="J103">
        <f t="shared" si="1"/>
        <v>51</v>
      </c>
    </row>
    <row r="104" spans="1:10" x14ac:dyDescent="0.25">
      <c r="A104" s="216">
        <v>38</v>
      </c>
      <c r="B104" s="216" t="s">
        <v>146</v>
      </c>
      <c r="C104" s="216">
        <v>1.1000000000000001</v>
      </c>
      <c r="D104" s="216">
        <v>49.61</v>
      </c>
      <c r="E104" s="216">
        <v>49.290000000000006</v>
      </c>
      <c r="F104" s="216">
        <v>52</v>
      </c>
      <c r="G104" s="216">
        <v>22</v>
      </c>
      <c r="H104" s="216" t="s">
        <v>184</v>
      </c>
      <c r="I104" s="216" t="s">
        <v>184</v>
      </c>
      <c r="J104">
        <f t="shared" si="1"/>
        <v>52</v>
      </c>
    </row>
    <row r="105" spans="1:10" x14ac:dyDescent="0.25">
      <c r="A105" s="216">
        <v>39</v>
      </c>
      <c r="B105" s="216" t="s">
        <v>229</v>
      </c>
      <c r="C105" s="216">
        <v>1.8</v>
      </c>
      <c r="D105" s="216">
        <v>38.6</v>
      </c>
      <c r="E105" s="216">
        <v>59.6</v>
      </c>
      <c r="F105" s="216">
        <v>57</v>
      </c>
      <c r="G105" s="216">
        <v>24</v>
      </c>
      <c r="H105" s="216" t="s">
        <v>184</v>
      </c>
      <c r="I105" s="216" t="s">
        <v>184</v>
      </c>
      <c r="J105">
        <f t="shared" si="1"/>
        <v>53</v>
      </c>
    </row>
    <row r="106" spans="1:10" x14ac:dyDescent="0.25">
      <c r="A106" s="216">
        <v>40</v>
      </c>
      <c r="B106" s="216" t="s">
        <v>217</v>
      </c>
      <c r="C106" s="216">
        <v>14.2</v>
      </c>
      <c r="D106" s="216">
        <v>45.45</v>
      </c>
      <c r="E106" s="216">
        <v>40.35</v>
      </c>
      <c r="F106" s="216">
        <v>41</v>
      </c>
      <c r="G106" s="216">
        <v>18</v>
      </c>
      <c r="H106" s="216" t="s">
        <v>184</v>
      </c>
      <c r="I106" s="216" t="s">
        <v>184</v>
      </c>
      <c r="J106">
        <f t="shared" si="1"/>
        <v>54</v>
      </c>
    </row>
    <row r="107" spans="1:10" x14ac:dyDescent="0.25">
      <c r="A107" s="216">
        <v>40</v>
      </c>
      <c r="B107" s="216" t="s">
        <v>230</v>
      </c>
      <c r="C107" s="216">
        <v>1.6</v>
      </c>
      <c r="D107" s="216">
        <v>77</v>
      </c>
      <c r="E107" s="216">
        <v>21.41</v>
      </c>
      <c r="F107" s="216">
        <v>37</v>
      </c>
      <c r="G107" s="216">
        <v>24</v>
      </c>
      <c r="H107" s="216">
        <v>1.6</v>
      </c>
      <c r="I107" s="216">
        <v>10</v>
      </c>
      <c r="J107">
        <f t="shared" si="1"/>
        <v>55</v>
      </c>
    </row>
    <row r="108" spans="1:10" x14ac:dyDescent="0.25">
      <c r="A108" s="216">
        <v>41</v>
      </c>
      <c r="B108" s="216" t="s">
        <v>146</v>
      </c>
      <c r="C108" s="216">
        <v>6.3000000000000007</v>
      </c>
      <c r="D108" s="216">
        <v>51.28</v>
      </c>
      <c r="E108" s="216">
        <v>42.42</v>
      </c>
      <c r="F108" s="216">
        <v>120</v>
      </c>
      <c r="G108" s="216">
        <v>69</v>
      </c>
      <c r="H108" s="216" t="s">
        <v>184</v>
      </c>
      <c r="I108" s="216" t="s">
        <v>184</v>
      </c>
      <c r="J108">
        <f t="shared" si="1"/>
        <v>56</v>
      </c>
    </row>
    <row r="109" spans="1:10" x14ac:dyDescent="0.25">
      <c r="A109" s="216">
        <v>42</v>
      </c>
      <c r="B109" s="216" t="s">
        <v>203</v>
      </c>
      <c r="C109" s="216">
        <v>22.5</v>
      </c>
      <c r="D109" s="216">
        <v>57.03</v>
      </c>
      <c r="E109" s="216">
        <v>20.47</v>
      </c>
      <c r="F109" s="216">
        <v>30</v>
      </c>
      <c r="G109" s="216">
        <v>21</v>
      </c>
      <c r="H109" s="216" t="s">
        <v>184</v>
      </c>
      <c r="I109" s="216" t="s">
        <v>184</v>
      </c>
      <c r="J109">
        <f t="shared" si="1"/>
        <v>57</v>
      </c>
    </row>
    <row r="110" spans="1:10" x14ac:dyDescent="0.25">
      <c r="A110" s="216">
        <v>44</v>
      </c>
      <c r="B110" s="216" t="s">
        <v>203</v>
      </c>
      <c r="C110" s="216">
        <v>8</v>
      </c>
      <c r="D110" s="216">
        <v>41.86</v>
      </c>
      <c r="E110" s="216">
        <v>50.14</v>
      </c>
      <c r="F110" s="216">
        <v>43</v>
      </c>
      <c r="G110" s="216">
        <v>25</v>
      </c>
      <c r="H110" s="216" t="s">
        <v>184</v>
      </c>
      <c r="I110" s="216" t="s">
        <v>184</v>
      </c>
      <c r="J110">
        <f t="shared" si="1"/>
        <v>58</v>
      </c>
    </row>
    <row r="111" spans="1:10" x14ac:dyDescent="0.25">
      <c r="A111" s="216">
        <v>45</v>
      </c>
      <c r="B111" s="216" t="s">
        <v>231</v>
      </c>
      <c r="C111" s="216">
        <v>41.8</v>
      </c>
      <c r="D111" s="216">
        <v>34.880000000000003</v>
      </c>
      <c r="E111" s="216">
        <v>23.32</v>
      </c>
      <c r="F111" s="216">
        <v>32</v>
      </c>
      <c r="G111" s="216">
        <v>19</v>
      </c>
      <c r="H111" s="216" t="s">
        <v>184</v>
      </c>
      <c r="I111" s="216" t="s">
        <v>184</v>
      </c>
      <c r="J111">
        <f t="shared" si="1"/>
        <v>59</v>
      </c>
    </row>
    <row r="112" spans="1:10" x14ac:dyDescent="0.25">
      <c r="A112" s="216">
        <v>49</v>
      </c>
      <c r="B112" s="216" t="s">
        <v>195</v>
      </c>
      <c r="C112" s="216">
        <v>34.1</v>
      </c>
      <c r="D112" s="216">
        <v>55.94</v>
      </c>
      <c r="E112" s="216">
        <v>9.9599999999999991</v>
      </c>
      <c r="F112" s="216">
        <v>40</v>
      </c>
      <c r="G112" s="216">
        <v>22</v>
      </c>
      <c r="H112" s="216">
        <v>1.1100000000000001</v>
      </c>
      <c r="I112" s="216">
        <v>13</v>
      </c>
      <c r="J112">
        <f t="shared" si="1"/>
        <v>60</v>
      </c>
    </row>
    <row r="113" spans="1:10" x14ac:dyDescent="0.25">
      <c r="A113" s="216">
        <v>49</v>
      </c>
      <c r="B113" s="216" t="s">
        <v>232</v>
      </c>
      <c r="C113" s="216">
        <v>15</v>
      </c>
      <c r="D113" s="216">
        <v>75.239999999999995</v>
      </c>
      <c r="E113" s="216">
        <v>9.75</v>
      </c>
      <c r="F113" s="216">
        <v>55</v>
      </c>
      <c r="G113" s="216">
        <v>32</v>
      </c>
      <c r="H113" s="216">
        <v>1.65</v>
      </c>
      <c r="I113" s="216">
        <v>6.2</v>
      </c>
      <c r="J113">
        <f t="shared" si="1"/>
        <v>61</v>
      </c>
    </row>
    <row r="114" spans="1:10" x14ac:dyDescent="0.25">
      <c r="A114" s="216">
        <v>51</v>
      </c>
      <c r="B114" s="216" t="s">
        <v>227</v>
      </c>
      <c r="C114" s="216">
        <v>2.8</v>
      </c>
      <c r="D114" s="216">
        <v>62.13</v>
      </c>
      <c r="E114" s="216">
        <v>35.08</v>
      </c>
      <c r="F114" s="216">
        <v>54</v>
      </c>
      <c r="G114" s="216">
        <v>26</v>
      </c>
      <c r="H114" s="216" t="s">
        <v>184</v>
      </c>
      <c r="I114" s="216" t="s">
        <v>184</v>
      </c>
      <c r="J114">
        <f t="shared" si="1"/>
        <v>62</v>
      </c>
    </row>
    <row r="115" spans="1:10" x14ac:dyDescent="0.25">
      <c r="A115" s="216">
        <v>53</v>
      </c>
      <c r="B115" s="216" t="s">
        <v>203</v>
      </c>
      <c r="C115" s="216">
        <v>13.3</v>
      </c>
      <c r="D115" s="216">
        <v>47.05</v>
      </c>
      <c r="E115" s="216">
        <v>39.65</v>
      </c>
      <c r="F115" s="216">
        <v>36</v>
      </c>
      <c r="G115" s="216">
        <v>16</v>
      </c>
      <c r="H115" s="216" t="s">
        <v>184</v>
      </c>
      <c r="I115" s="216" t="s">
        <v>184</v>
      </c>
      <c r="J115">
        <f t="shared" si="1"/>
        <v>63</v>
      </c>
    </row>
    <row r="116" spans="1:10" x14ac:dyDescent="0.25">
      <c r="A116" s="216">
        <v>53</v>
      </c>
      <c r="B116" s="216" t="s">
        <v>204</v>
      </c>
      <c r="C116" s="216">
        <v>39.4</v>
      </c>
      <c r="D116" s="216">
        <v>40.06</v>
      </c>
      <c r="E116" s="216">
        <v>20.54</v>
      </c>
      <c r="F116" s="216">
        <v>37</v>
      </c>
      <c r="G116" s="216">
        <v>16</v>
      </c>
      <c r="H116" s="216" t="s">
        <v>184</v>
      </c>
      <c r="I116" s="216" t="s">
        <v>184</v>
      </c>
      <c r="J116">
        <f t="shared" si="1"/>
        <v>64</v>
      </c>
    </row>
    <row r="117" spans="1:10" x14ac:dyDescent="0.25">
      <c r="A117" s="216">
        <v>53</v>
      </c>
      <c r="B117" s="216" t="s">
        <v>233</v>
      </c>
      <c r="C117" s="216">
        <v>1</v>
      </c>
      <c r="D117" s="216">
        <v>75.28</v>
      </c>
      <c r="E117" s="216">
        <v>23.72</v>
      </c>
      <c r="F117" s="216">
        <v>45</v>
      </c>
      <c r="G117" s="216">
        <v>26</v>
      </c>
      <c r="H117" s="216">
        <v>1.17</v>
      </c>
      <c r="I117" s="216">
        <v>10.5</v>
      </c>
      <c r="J117">
        <f t="shared" si="1"/>
        <v>65</v>
      </c>
    </row>
    <row r="118" spans="1:10" x14ac:dyDescent="0.25">
      <c r="A118" s="216">
        <v>54</v>
      </c>
      <c r="B118" s="216" t="s">
        <v>205</v>
      </c>
      <c r="C118" s="216">
        <v>17</v>
      </c>
      <c r="D118" s="216">
        <v>75.739999999999995</v>
      </c>
      <c r="E118" s="216">
        <v>7.26</v>
      </c>
      <c r="F118" s="216">
        <v>31</v>
      </c>
      <c r="G118" s="216">
        <v>21</v>
      </c>
      <c r="H118" s="216">
        <v>1.63</v>
      </c>
      <c r="I118" s="216">
        <v>7</v>
      </c>
      <c r="J118">
        <f t="shared" si="1"/>
        <v>66</v>
      </c>
    </row>
    <row r="119" spans="1:10" x14ac:dyDescent="0.25">
      <c r="A119" s="216">
        <v>55</v>
      </c>
      <c r="B119" s="216" t="s">
        <v>203</v>
      </c>
      <c r="C119" s="216">
        <v>16.7</v>
      </c>
      <c r="D119" s="216">
        <v>35.799999999999997</v>
      </c>
      <c r="E119" s="216">
        <v>47.510000000000005</v>
      </c>
      <c r="F119" s="216">
        <v>52</v>
      </c>
      <c r="G119" s="216">
        <v>24</v>
      </c>
      <c r="H119" s="216" t="s">
        <v>184</v>
      </c>
      <c r="I119" s="216" t="s">
        <v>184</v>
      </c>
      <c r="J119">
        <f t="shared" si="1"/>
        <v>67</v>
      </c>
    </row>
    <row r="120" spans="1:10" x14ac:dyDescent="0.25">
      <c r="A120" s="216">
        <v>56</v>
      </c>
      <c r="B120" s="216" t="s">
        <v>234</v>
      </c>
      <c r="C120" s="216">
        <v>10.9</v>
      </c>
      <c r="D120" s="216">
        <v>60.83</v>
      </c>
      <c r="E120" s="216">
        <v>28.27</v>
      </c>
      <c r="F120" s="216">
        <v>48</v>
      </c>
      <c r="G120" s="216">
        <v>23</v>
      </c>
      <c r="H120" s="216">
        <v>0.69</v>
      </c>
      <c r="I120" s="216">
        <v>9</v>
      </c>
      <c r="J120">
        <f t="shared" si="1"/>
        <v>68</v>
      </c>
    </row>
    <row r="121" spans="1:10" x14ac:dyDescent="0.25">
      <c r="A121" s="216">
        <v>58</v>
      </c>
      <c r="B121" s="216" t="s">
        <v>203</v>
      </c>
      <c r="C121" s="216">
        <v>2.9</v>
      </c>
      <c r="D121" s="216">
        <v>47.57</v>
      </c>
      <c r="E121" s="216">
        <v>49.53</v>
      </c>
      <c r="F121" s="216">
        <v>65</v>
      </c>
      <c r="G121" s="216">
        <v>33</v>
      </c>
      <c r="H121" s="216" t="s">
        <v>184</v>
      </c>
      <c r="I121" s="216" t="s">
        <v>184</v>
      </c>
      <c r="J121">
        <f t="shared" si="1"/>
        <v>69</v>
      </c>
    </row>
    <row r="122" spans="1:10" x14ac:dyDescent="0.25">
      <c r="A122" s="216">
        <v>58</v>
      </c>
      <c r="B122" s="216" t="s">
        <v>235</v>
      </c>
      <c r="C122" s="216">
        <v>6.3000000000000007</v>
      </c>
      <c r="D122" s="216">
        <v>82.7</v>
      </c>
      <c r="E122" s="216">
        <v>11</v>
      </c>
      <c r="F122" s="216">
        <v>41</v>
      </c>
      <c r="G122" s="216">
        <v>23</v>
      </c>
      <c r="H122" s="216">
        <v>1.32</v>
      </c>
      <c r="I122" s="216">
        <v>6.8</v>
      </c>
      <c r="J122">
        <f t="shared" si="1"/>
        <v>70</v>
      </c>
    </row>
    <row r="123" spans="1:10" x14ac:dyDescent="0.25">
      <c r="A123" s="216">
        <v>58</v>
      </c>
      <c r="B123" s="216" t="s">
        <v>188</v>
      </c>
      <c r="C123" s="216">
        <v>1.6</v>
      </c>
      <c r="D123" s="216">
        <v>73.81</v>
      </c>
      <c r="E123" s="216">
        <v>24.59</v>
      </c>
      <c r="F123" s="216">
        <v>46</v>
      </c>
      <c r="G123" s="216">
        <v>24</v>
      </c>
      <c r="H123" s="216">
        <v>1</v>
      </c>
      <c r="I123" s="216">
        <v>9</v>
      </c>
      <c r="J123">
        <f t="shared" si="1"/>
        <v>71</v>
      </c>
    </row>
    <row r="124" spans="1:10" x14ac:dyDescent="0.25">
      <c r="A124" s="216">
        <v>63</v>
      </c>
      <c r="B124" s="216" t="s">
        <v>224</v>
      </c>
      <c r="C124" s="216">
        <v>0.6</v>
      </c>
      <c r="D124" s="216">
        <v>74.3</v>
      </c>
      <c r="E124" s="216">
        <v>25.099999999999998</v>
      </c>
      <c r="F124" s="216">
        <v>50</v>
      </c>
      <c r="G124" s="216">
        <v>27</v>
      </c>
      <c r="H124" s="216">
        <v>0.8</v>
      </c>
      <c r="I124" s="216">
        <v>5</v>
      </c>
      <c r="J124">
        <f t="shared" si="1"/>
        <v>72</v>
      </c>
    </row>
    <row r="125" spans="1:10" x14ac:dyDescent="0.25">
      <c r="A125" s="216">
        <v>64</v>
      </c>
      <c r="B125" s="216" t="s">
        <v>146</v>
      </c>
      <c r="C125" s="216">
        <v>2.1</v>
      </c>
      <c r="D125" s="216">
        <v>42.99</v>
      </c>
      <c r="E125" s="216">
        <v>54.91</v>
      </c>
      <c r="F125" s="216">
        <v>59</v>
      </c>
      <c r="G125" s="216">
        <v>27</v>
      </c>
      <c r="H125" s="216" t="s">
        <v>184</v>
      </c>
      <c r="I125" s="216" t="s">
        <v>184</v>
      </c>
      <c r="J125">
        <f t="shared" si="1"/>
        <v>73</v>
      </c>
    </row>
    <row r="126" spans="1:10" x14ac:dyDescent="0.25">
      <c r="A126" s="216">
        <v>64</v>
      </c>
      <c r="B126" s="216" t="s">
        <v>236</v>
      </c>
      <c r="C126" s="216">
        <v>15</v>
      </c>
      <c r="D126" s="216">
        <v>57.77</v>
      </c>
      <c r="E126" s="216">
        <v>27.23</v>
      </c>
      <c r="F126" s="216">
        <v>45</v>
      </c>
      <c r="G126" s="216">
        <v>26</v>
      </c>
      <c r="H126" s="216">
        <v>1</v>
      </c>
      <c r="I126" s="216">
        <v>9</v>
      </c>
      <c r="J126">
        <f t="shared" si="1"/>
        <v>74</v>
      </c>
    </row>
    <row r="127" spans="1:10" x14ac:dyDescent="0.25">
      <c r="A127" s="216">
        <v>65</v>
      </c>
      <c r="B127" s="216" t="s">
        <v>207</v>
      </c>
      <c r="C127" s="216">
        <v>24.2</v>
      </c>
      <c r="D127" s="216">
        <v>48.15</v>
      </c>
      <c r="E127" s="216">
        <v>27.65</v>
      </c>
      <c r="F127" s="216">
        <v>28</v>
      </c>
      <c r="G127" s="216">
        <v>16</v>
      </c>
      <c r="H127" s="216" t="s">
        <v>184</v>
      </c>
      <c r="I127" s="216" t="s">
        <v>184</v>
      </c>
      <c r="J127">
        <f t="shared" si="1"/>
        <v>75</v>
      </c>
    </row>
    <row r="128" spans="1:10" x14ac:dyDescent="0.25">
      <c r="A128" s="216">
        <v>67</v>
      </c>
      <c r="B128" s="216" t="s">
        <v>146</v>
      </c>
      <c r="C128" s="216">
        <v>3.1</v>
      </c>
      <c r="D128" s="216">
        <v>62.94</v>
      </c>
      <c r="E128" s="216">
        <v>33.96</v>
      </c>
      <c r="F128" s="216">
        <v>48</v>
      </c>
      <c r="G128" s="216">
        <v>24</v>
      </c>
      <c r="H128" s="216" t="s">
        <v>184</v>
      </c>
      <c r="I128" s="216" t="s">
        <v>184</v>
      </c>
      <c r="J128">
        <f t="shared" si="1"/>
        <v>76</v>
      </c>
    </row>
    <row r="129" spans="1:10" x14ac:dyDescent="0.25">
      <c r="A129" s="216">
        <v>67</v>
      </c>
      <c r="B129" s="216" t="s">
        <v>195</v>
      </c>
      <c r="C129" s="216">
        <v>3.7</v>
      </c>
      <c r="D129" s="216">
        <v>65.239999999999995</v>
      </c>
      <c r="E129" s="216">
        <v>31.060000000000002</v>
      </c>
      <c r="F129" s="216">
        <v>45</v>
      </c>
      <c r="G129" s="216">
        <v>26</v>
      </c>
      <c r="H129" s="216" t="s">
        <v>184</v>
      </c>
      <c r="I129" s="216" t="s">
        <v>184</v>
      </c>
      <c r="J129">
        <f t="shared" si="1"/>
        <v>77</v>
      </c>
    </row>
    <row r="130" spans="1:10" x14ac:dyDescent="0.25">
      <c r="A130" s="216">
        <v>69</v>
      </c>
      <c r="B130" s="216" t="s">
        <v>237</v>
      </c>
      <c r="C130" s="216">
        <v>59</v>
      </c>
      <c r="D130" s="216">
        <v>28.26</v>
      </c>
      <c r="E130" s="216">
        <v>12.74</v>
      </c>
      <c r="F130" s="216">
        <v>34</v>
      </c>
      <c r="G130" s="216">
        <v>17</v>
      </c>
      <c r="H130" s="216">
        <v>9.66</v>
      </c>
      <c r="I130" s="216">
        <v>99.5</v>
      </c>
      <c r="J130">
        <f t="shared" si="1"/>
        <v>78</v>
      </c>
    </row>
    <row r="131" spans="1:10" x14ac:dyDescent="0.25">
      <c r="A131" s="216">
        <v>69</v>
      </c>
      <c r="B131" s="216" t="s">
        <v>220</v>
      </c>
      <c r="C131" s="216">
        <v>10.8</v>
      </c>
      <c r="D131" s="216">
        <v>49.54</v>
      </c>
      <c r="E131" s="216">
        <v>39.659999999999997</v>
      </c>
      <c r="F131" s="216">
        <v>55</v>
      </c>
      <c r="G131" s="216">
        <v>27</v>
      </c>
      <c r="H131" s="216">
        <v>0.69</v>
      </c>
      <c r="I131" s="216">
        <v>13</v>
      </c>
      <c r="J131">
        <f t="shared" si="1"/>
        <v>79</v>
      </c>
    </row>
    <row r="132" spans="1:10" x14ac:dyDescent="0.25">
      <c r="A132" s="216">
        <v>71</v>
      </c>
      <c r="B132" s="216" t="s">
        <v>238</v>
      </c>
      <c r="C132" s="216">
        <v>50.8</v>
      </c>
      <c r="D132" s="216">
        <v>33.03</v>
      </c>
      <c r="E132" s="216">
        <v>16.170000000000002</v>
      </c>
      <c r="F132" s="216">
        <v>32</v>
      </c>
      <c r="G132" s="216">
        <v>22</v>
      </c>
      <c r="H132" s="216">
        <v>1.41</v>
      </c>
      <c r="I132" s="216">
        <v>86</v>
      </c>
      <c r="J132">
        <f t="shared" ref="J132:J195" si="2">J131+1</f>
        <v>80</v>
      </c>
    </row>
    <row r="133" spans="1:10" x14ac:dyDescent="0.25">
      <c r="A133" s="216">
        <v>71</v>
      </c>
      <c r="B133" s="216" t="s">
        <v>236</v>
      </c>
      <c r="C133" s="216">
        <v>25.8</v>
      </c>
      <c r="D133" s="216">
        <v>62.84</v>
      </c>
      <c r="E133" s="216">
        <v>11.37</v>
      </c>
      <c r="F133" s="216">
        <v>36</v>
      </c>
      <c r="G133" s="216">
        <v>20</v>
      </c>
      <c r="H133" s="216">
        <v>0.75</v>
      </c>
      <c r="I133" s="216">
        <v>10.4</v>
      </c>
      <c r="J133">
        <f t="shared" si="2"/>
        <v>81</v>
      </c>
    </row>
    <row r="134" spans="1:10" x14ac:dyDescent="0.25">
      <c r="A134" s="216">
        <v>72</v>
      </c>
      <c r="B134" s="216" t="s">
        <v>203</v>
      </c>
      <c r="C134" s="216">
        <v>14</v>
      </c>
      <c r="D134" s="216">
        <v>36.46</v>
      </c>
      <c r="E134" s="216">
        <v>49.540000000000006</v>
      </c>
      <c r="F134" s="216">
        <v>54</v>
      </c>
      <c r="G134" s="216">
        <v>20</v>
      </c>
      <c r="H134" s="216" t="s">
        <v>184</v>
      </c>
      <c r="I134" s="216" t="s">
        <v>184</v>
      </c>
      <c r="J134">
        <f t="shared" si="2"/>
        <v>82</v>
      </c>
    </row>
    <row r="135" spans="1:10" x14ac:dyDescent="0.25">
      <c r="A135" s="216">
        <v>72</v>
      </c>
      <c r="B135" s="216" t="s">
        <v>226</v>
      </c>
      <c r="C135" s="216">
        <v>18.3</v>
      </c>
      <c r="D135" s="216">
        <v>50.8</v>
      </c>
      <c r="E135" s="216">
        <v>30.9</v>
      </c>
      <c r="F135" s="216">
        <v>36</v>
      </c>
      <c r="G135" s="216">
        <v>17</v>
      </c>
      <c r="H135" s="216" t="s">
        <v>184</v>
      </c>
      <c r="I135" s="216" t="s">
        <v>184</v>
      </c>
      <c r="J135">
        <f t="shared" si="2"/>
        <v>83</v>
      </c>
    </row>
    <row r="136" spans="1:10" x14ac:dyDescent="0.25">
      <c r="A136" s="216">
        <v>75</v>
      </c>
      <c r="B136" s="216" t="s">
        <v>203</v>
      </c>
      <c r="C136" s="216">
        <v>65.099999999999994</v>
      </c>
      <c r="D136" s="216">
        <v>26.03</v>
      </c>
      <c r="E136" s="216">
        <v>8.870000000000001</v>
      </c>
      <c r="F136" s="216">
        <v>23</v>
      </c>
      <c r="G136" s="216">
        <v>15</v>
      </c>
      <c r="H136" s="216">
        <v>2.67</v>
      </c>
      <c r="I136" s="216">
        <v>31.29</v>
      </c>
      <c r="J136">
        <f t="shared" si="2"/>
        <v>84</v>
      </c>
    </row>
    <row r="137" spans="1:10" x14ac:dyDescent="0.25">
      <c r="A137" s="216">
        <v>78</v>
      </c>
      <c r="B137" s="216" t="s">
        <v>195</v>
      </c>
      <c r="C137" s="216">
        <v>48.8</v>
      </c>
      <c r="D137" s="216">
        <v>44.07</v>
      </c>
      <c r="E137" s="216">
        <v>7.13</v>
      </c>
      <c r="F137" s="216">
        <v>48</v>
      </c>
      <c r="G137" s="216">
        <v>25</v>
      </c>
      <c r="H137" s="216">
        <v>0.69</v>
      </c>
      <c r="I137" s="216">
        <v>24.71</v>
      </c>
      <c r="J137">
        <f t="shared" si="2"/>
        <v>85</v>
      </c>
    </row>
    <row r="138" spans="1:10" x14ac:dyDescent="0.25">
      <c r="A138" s="216">
        <v>80</v>
      </c>
      <c r="B138" s="216" t="s">
        <v>239</v>
      </c>
      <c r="C138" s="216">
        <v>2.5999999999999996</v>
      </c>
      <c r="D138" s="216">
        <v>63.52</v>
      </c>
      <c r="E138" s="216">
        <v>33.879999999999995</v>
      </c>
      <c r="F138" s="216">
        <v>38</v>
      </c>
      <c r="G138" s="216">
        <v>21</v>
      </c>
      <c r="H138" s="216" t="s">
        <v>184</v>
      </c>
      <c r="I138" s="216" t="s">
        <v>184</v>
      </c>
      <c r="J138">
        <f t="shared" si="2"/>
        <v>86</v>
      </c>
    </row>
    <row r="139" spans="1:10" x14ac:dyDescent="0.25">
      <c r="A139" s="216">
        <v>81</v>
      </c>
      <c r="B139" s="216" t="s">
        <v>240</v>
      </c>
      <c r="C139" s="216">
        <v>3</v>
      </c>
      <c r="D139" s="216">
        <v>73.42</v>
      </c>
      <c r="E139" s="216">
        <v>23.580000000000002</v>
      </c>
      <c r="F139" s="216">
        <v>45</v>
      </c>
      <c r="G139" s="216">
        <v>23</v>
      </c>
      <c r="H139" s="216">
        <v>1.29</v>
      </c>
      <c r="I139" s="216">
        <v>9.5</v>
      </c>
      <c r="J139">
        <f t="shared" si="2"/>
        <v>87</v>
      </c>
    </row>
    <row r="140" spans="1:10" x14ac:dyDescent="0.25">
      <c r="A140" s="216">
        <v>81</v>
      </c>
      <c r="B140" s="216" t="s">
        <v>234</v>
      </c>
      <c r="C140" s="216">
        <v>20.6</v>
      </c>
      <c r="D140" s="216">
        <v>64.569999999999993</v>
      </c>
      <c r="E140" s="216">
        <v>14.82</v>
      </c>
      <c r="F140" s="216">
        <v>35</v>
      </c>
      <c r="G140" s="216">
        <v>20</v>
      </c>
      <c r="H140" s="216">
        <v>0.88</v>
      </c>
      <c r="I140" s="216">
        <v>12.67</v>
      </c>
      <c r="J140">
        <f t="shared" si="2"/>
        <v>88</v>
      </c>
    </row>
    <row r="141" spans="1:10" x14ac:dyDescent="0.25">
      <c r="A141" s="216">
        <v>85</v>
      </c>
      <c r="B141" s="216" t="s">
        <v>203</v>
      </c>
      <c r="C141" s="216">
        <v>27.3</v>
      </c>
      <c r="D141" s="216">
        <v>49.77</v>
      </c>
      <c r="E141" s="216">
        <v>22.94</v>
      </c>
      <c r="F141" s="216">
        <v>30</v>
      </c>
      <c r="G141" s="216">
        <v>16</v>
      </c>
      <c r="H141" s="216" t="s">
        <v>184</v>
      </c>
      <c r="I141" s="216" t="s">
        <v>184</v>
      </c>
      <c r="J141">
        <f t="shared" si="2"/>
        <v>89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90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91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92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93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94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95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96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97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98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99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100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101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102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103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104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105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106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107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108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109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110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111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112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113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114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115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116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117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118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119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120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121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122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123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124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125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126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127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128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129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130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131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132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133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134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135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136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137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138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139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140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141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142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143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144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145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146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147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148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149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150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151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152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153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154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155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156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157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158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159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160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161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162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163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164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165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166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167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168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169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170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171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172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173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174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175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176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177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178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179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180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181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182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183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184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185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186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187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188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189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190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191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192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193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194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195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196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197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198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199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200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201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202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203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204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205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206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207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208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209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210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211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212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213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214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215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216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217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218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219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220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221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222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223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224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225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226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227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228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229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230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231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232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233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234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235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236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237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238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239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240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241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242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243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244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245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246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247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248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249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250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251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252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253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254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255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256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257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258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259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260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261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262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263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264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265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266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267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268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269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270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271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272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273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274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275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276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277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278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279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280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281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282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283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284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285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286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287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288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289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290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291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292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293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294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295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296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297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298</v>
      </c>
    </row>
    <row r="351" spans="1:10" x14ac:dyDescent="0.25">
      <c r="J351">
        <f t="shared" si="5"/>
        <v>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FCE5E-F77F-42F9-A217-9E562FC04B41}">
  <dimension ref="A1:E141"/>
  <sheetViews>
    <sheetView topLeftCell="A43" workbookViewId="0">
      <selection activeCell="G54" sqref="G54"/>
    </sheetView>
  </sheetViews>
  <sheetFormatPr defaultRowHeight="12.5" x14ac:dyDescent="0.25"/>
  <cols>
    <col min="7" max="7" width="14.7265625" customWidth="1"/>
  </cols>
  <sheetData>
    <row r="1" spans="1:5" x14ac:dyDescent="0.25">
      <c r="A1" t="s">
        <v>241</v>
      </c>
      <c r="B1" t="s">
        <v>242</v>
      </c>
      <c r="C1" t="s">
        <v>243</v>
      </c>
      <c r="D1" t="s">
        <v>244</v>
      </c>
      <c r="E1" t="s">
        <v>245</v>
      </c>
    </row>
    <row r="2" spans="1:5" x14ac:dyDescent="0.25">
      <c r="A2">
        <v>5</v>
      </c>
      <c r="B2">
        <v>59.04</v>
      </c>
      <c r="C2">
        <v>35.96</v>
      </c>
      <c r="D2">
        <v>34</v>
      </c>
      <c r="E2">
        <v>21</v>
      </c>
    </row>
    <row r="3" spans="1:5" x14ac:dyDescent="0.25">
      <c r="A3">
        <v>11.1</v>
      </c>
      <c r="B3">
        <v>66.33</v>
      </c>
      <c r="C3">
        <v>22.58</v>
      </c>
      <c r="D3">
        <v>31</v>
      </c>
      <c r="E3">
        <v>20</v>
      </c>
    </row>
    <row r="4" spans="1:5" x14ac:dyDescent="0.25">
      <c r="A4">
        <v>7.3</v>
      </c>
      <c r="B4">
        <v>70.17</v>
      </c>
      <c r="C4">
        <v>22.52</v>
      </c>
      <c r="D4">
        <v>36</v>
      </c>
      <c r="E4">
        <v>24</v>
      </c>
    </row>
    <row r="5" spans="1:5" x14ac:dyDescent="0.25">
      <c r="A5">
        <v>11.1</v>
      </c>
      <c r="B5">
        <v>64.040000000000006</v>
      </c>
      <c r="C5">
        <v>24.87</v>
      </c>
      <c r="D5">
        <v>38</v>
      </c>
      <c r="E5">
        <v>23</v>
      </c>
    </row>
    <row r="6" spans="1:5" x14ac:dyDescent="0.25">
      <c r="A6">
        <v>1.6</v>
      </c>
      <c r="B6">
        <v>79</v>
      </c>
      <c r="C6">
        <v>19.39</v>
      </c>
      <c r="D6">
        <v>39</v>
      </c>
      <c r="E6">
        <v>28</v>
      </c>
    </row>
    <row r="7" spans="1:5" x14ac:dyDescent="0.25">
      <c r="A7">
        <v>7.3</v>
      </c>
      <c r="B7">
        <v>71.069999999999993</v>
      </c>
      <c r="C7">
        <v>21.63</v>
      </c>
      <c r="D7">
        <v>37</v>
      </c>
      <c r="E7">
        <v>25</v>
      </c>
    </row>
    <row r="8" spans="1:5" x14ac:dyDescent="0.25">
      <c r="A8">
        <v>1.6</v>
      </c>
      <c r="B8">
        <v>42.03</v>
      </c>
      <c r="C8">
        <v>56.37</v>
      </c>
      <c r="D8">
        <v>45</v>
      </c>
      <c r="E8">
        <v>25</v>
      </c>
    </row>
    <row r="9" spans="1:5" x14ac:dyDescent="0.25">
      <c r="A9">
        <v>3.1</v>
      </c>
      <c r="B9">
        <v>66.180000000000007</v>
      </c>
      <c r="C9">
        <v>30.72</v>
      </c>
      <c r="D9">
        <v>37</v>
      </c>
      <c r="E9">
        <v>23</v>
      </c>
    </row>
    <row r="10" spans="1:5" x14ac:dyDescent="0.25">
      <c r="A10">
        <v>2.1</v>
      </c>
      <c r="B10">
        <v>70.02</v>
      </c>
      <c r="C10">
        <v>27.89</v>
      </c>
      <c r="D10">
        <v>39</v>
      </c>
      <c r="E10">
        <v>21</v>
      </c>
    </row>
    <row r="11" spans="1:5" x14ac:dyDescent="0.25">
      <c r="A11">
        <v>2.5</v>
      </c>
      <c r="B11">
        <v>73.8</v>
      </c>
      <c r="C11">
        <v>23.689999999999998</v>
      </c>
      <c r="D11">
        <v>39</v>
      </c>
      <c r="E11">
        <v>26</v>
      </c>
    </row>
    <row r="12" spans="1:5" x14ac:dyDescent="0.25">
      <c r="A12">
        <v>0.9</v>
      </c>
      <c r="B12">
        <v>68.94</v>
      </c>
      <c r="C12">
        <v>30.159999999999997</v>
      </c>
      <c r="D12">
        <v>37</v>
      </c>
      <c r="E12">
        <v>25</v>
      </c>
    </row>
    <row r="13" spans="1:5" x14ac:dyDescent="0.25">
      <c r="A13">
        <v>1.6</v>
      </c>
      <c r="B13">
        <v>74.28</v>
      </c>
      <c r="C13">
        <v>24.119999999999997</v>
      </c>
      <c r="D13">
        <v>39</v>
      </c>
      <c r="E13">
        <v>30</v>
      </c>
    </row>
    <row r="14" spans="1:5" x14ac:dyDescent="0.25">
      <c r="A14">
        <v>1.7</v>
      </c>
      <c r="B14">
        <v>83.18</v>
      </c>
      <c r="C14">
        <v>15.12</v>
      </c>
      <c r="D14">
        <v>48</v>
      </c>
      <c r="E14">
        <v>26</v>
      </c>
    </row>
    <row r="15" spans="1:5" x14ac:dyDescent="0.25">
      <c r="A15">
        <v>4.3</v>
      </c>
      <c r="B15">
        <v>65.27</v>
      </c>
      <c r="C15">
        <v>30.43</v>
      </c>
      <c r="D15">
        <v>38</v>
      </c>
      <c r="E15">
        <v>23</v>
      </c>
    </row>
    <row r="16" spans="1:5" x14ac:dyDescent="0.25">
      <c r="A16">
        <v>1.9</v>
      </c>
      <c r="B16">
        <v>62.39</v>
      </c>
      <c r="C16">
        <v>35.72</v>
      </c>
      <c r="D16">
        <v>55</v>
      </c>
      <c r="E16">
        <v>26</v>
      </c>
    </row>
    <row r="17" spans="1:5" x14ac:dyDescent="0.25">
      <c r="A17">
        <v>2.9</v>
      </c>
      <c r="B17">
        <v>76</v>
      </c>
      <c r="C17">
        <v>21.1</v>
      </c>
      <c r="D17">
        <v>37</v>
      </c>
      <c r="E17">
        <v>26</v>
      </c>
    </row>
    <row r="18" spans="1:5" x14ac:dyDescent="0.25">
      <c r="A18">
        <v>3</v>
      </c>
      <c r="B18">
        <v>68.22</v>
      </c>
      <c r="C18">
        <v>28.779999999999998</v>
      </c>
      <c r="D18">
        <v>38</v>
      </c>
      <c r="E18">
        <v>24</v>
      </c>
    </row>
    <row r="19" spans="1:5" x14ac:dyDescent="0.25">
      <c r="A19">
        <v>0.3</v>
      </c>
      <c r="B19">
        <v>73.66</v>
      </c>
      <c r="C19">
        <v>26.03</v>
      </c>
      <c r="D19">
        <v>42</v>
      </c>
      <c r="E19">
        <v>28</v>
      </c>
    </row>
    <row r="20" spans="1:5" x14ac:dyDescent="0.25">
      <c r="A20">
        <v>1.5</v>
      </c>
      <c r="B20">
        <v>58.07</v>
      </c>
      <c r="C20">
        <v>40.44</v>
      </c>
      <c r="D20">
        <v>61</v>
      </c>
      <c r="E20">
        <v>32</v>
      </c>
    </row>
    <row r="21" spans="1:5" x14ac:dyDescent="0.25">
      <c r="A21">
        <v>1.9</v>
      </c>
      <c r="B21">
        <v>72.290000000000006</v>
      </c>
      <c r="C21">
        <v>25.810000000000002</v>
      </c>
      <c r="D21">
        <v>37</v>
      </c>
      <c r="E21">
        <v>26</v>
      </c>
    </row>
    <row r="22" spans="1:5" x14ac:dyDescent="0.25">
      <c r="A22">
        <v>7.9</v>
      </c>
      <c r="B22">
        <v>69.73</v>
      </c>
      <c r="C22">
        <v>22.369999999999997</v>
      </c>
      <c r="D22">
        <v>28</v>
      </c>
      <c r="E22">
        <v>21</v>
      </c>
    </row>
    <row r="23" spans="1:5" x14ac:dyDescent="0.25">
      <c r="A23">
        <v>2.2000000000000002</v>
      </c>
      <c r="B23">
        <v>69.42</v>
      </c>
      <c r="C23">
        <v>28.39</v>
      </c>
      <c r="D23">
        <v>37</v>
      </c>
      <c r="E23">
        <v>24</v>
      </c>
    </row>
    <row r="24" spans="1:5" x14ac:dyDescent="0.25">
      <c r="A24">
        <v>5.8</v>
      </c>
      <c r="B24">
        <v>73.03</v>
      </c>
      <c r="C24">
        <v>21.17</v>
      </c>
      <c r="D24">
        <v>37</v>
      </c>
      <c r="E24">
        <v>21</v>
      </c>
    </row>
    <row r="25" spans="1:5" x14ac:dyDescent="0.25">
      <c r="A25">
        <v>39.200000000000003</v>
      </c>
      <c r="B25">
        <v>44.09</v>
      </c>
      <c r="C25">
        <v>16.71</v>
      </c>
      <c r="D25">
        <v>28</v>
      </c>
      <c r="E25">
        <v>19</v>
      </c>
    </row>
    <row r="26" spans="1:5" x14ac:dyDescent="0.25">
      <c r="A26">
        <v>19.099999999999998</v>
      </c>
      <c r="B26">
        <v>54.05</v>
      </c>
      <c r="C26">
        <v>26.85</v>
      </c>
      <c r="D26">
        <v>40</v>
      </c>
      <c r="E26">
        <v>22</v>
      </c>
    </row>
    <row r="27" spans="1:5" x14ac:dyDescent="0.25">
      <c r="A27">
        <v>3.8</v>
      </c>
      <c r="B27">
        <v>64.819999999999993</v>
      </c>
      <c r="C27">
        <v>31.380000000000003</v>
      </c>
      <c r="D27">
        <v>37</v>
      </c>
      <c r="E27">
        <v>21</v>
      </c>
    </row>
    <row r="28" spans="1:5" x14ac:dyDescent="0.25">
      <c r="A28">
        <v>3</v>
      </c>
      <c r="B28">
        <v>57.5</v>
      </c>
      <c r="C28">
        <v>39.489999999999995</v>
      </c>
      <c r="D28">
        <v>44</v>
      </c>
      <c r="E28">
        <v>23</v>
      </c>
    </row>
    <row r="29" spans="1:5" x14ac:dyDescent="0.25">
      <c r="A29">
        <v>2.5</v>
      </c>
      <c r="B29">
        <v>69.25</v>
      </c>
      <c r="C29">
        <v>28.25</v>
      </c>
      <c r="D29">
        <v>39</v>
      </c>
      <c r="E29">
        <v>22</v>
      </c>
    </row>
    <row r="30" spans="1:5" x14ac:dyDescent="0.25">
      <c r="A30">
        <v>10.6</v>
      </c>
      <c r="B30">
        <v>74.25</v>
      </c>
      <c r="C30">
        <v>15.16</v>
      </c>
      <c r="D30">
        <v>40</v>
      </c>
      <c r="E30">
        <v>28</v>
      </c>
    </row>
    <row r="31" spans="1:5" x14ac:dyDescent="0.25">
      <c r="A31">
        <v>8.5</v>
      </c>
      <c r="B31">
        <v>78.47</v>
      </c>
      <c r="C31">
        <v>13.03</v>
      </c>
      <c r="D31">
        <v>38</v>
      </c>
      <c r="E31">
        <v>26</v>
      </c>
    </row>
    <row r="32" spans="1:5" x14ac:dyDescent="0.25">
      <c r="A32">
        <v>2</v>
      </c>
      <c r="B32">
        <v>80.19</v>
      </c>
      <c r="C32">
        <v>17.810000000000002</v>
      </c>
      <c r="D32">
        <v>38</v>
      </c>
      <c r="E32">
        <v>27</v>
      </c>
    </row>
    <row r="33" spans="1:5" x14ac:dyDescent="0.25">
      <c r="A33">
        <v>3.2</v>
      </c>
      <c r="B33">
        <v>64.3</v>
      </c>
      <c r="C33">
        <v>32.5</v>
      </c>
      <c r="D33">
        <v>50</v>
      </c>
      <c r="E33">
        <v>20</v>
      </c>
    </row>
    <row r="34" spans="1:5" x14ac:dyDescent="0.25">
      <c r="A34">
        <v>44.5</v>
      </c>
      <c r="B34">
        <v>41.14</v>
      </c>
      <c r="C34">
        <v>14.36</v>
      </c>
      <c r="D34">
        <v>27</v>
      </c>
      <c r="E34">
        <v>18</v>
      </c>
    </row>
    <row r="35" spans="1:5" x14ac:dyDescent="0.25">
      <c r="A35">
        <v>9.5</v>
      </c>
      <c r="B35">
        <v>75.22</v>
      </c>
      <c r="C35">
        <v>15.27</v>
      </c>
      <c r="D35">
        <v>38</v>
      </c>
      <c r="E35">
        <v>26</v>
      </c>
    </row>
    <row r="36" spans="1:5" x14ac:dyDescent="0.25">
      <c r="A36">
        <v>4.3</v>
      </c>
      <c r="B36">
        <v>67.87</v>
      </c>
      <c r="C36">
        <v>27.84</v>
      </c>
      <c r="D36">
        <v>39</v>
      </c>
      <c r="E36">
        <v>23</v>
      </c>
    </row>
    <row r="37" spans="1:5" x14ac:dyDescent="0.25">
      <c r="A37">
        <v>1.4</v>
      </c>
      <c r="B37">
        <v>57.7</v>
      </c>
      <c r="C37">
        <v>40.900000000000006</v>
      </c>
      <c r="D37">
        <v>56</v>
      </c>
      <c r="E37">
        <v>24</v>
      </c>
    </row>
    <row r="38" spans="1:5" x14ac:dyDescent="0.25">
      <c r="A38">
        <v>5.5</v>
      </c>
      <c r="B38">
        <v>65.06</v>
      </c>
      <c r="C38">
        <v>29.439999999999998</v>
      </c>
      <c r="D38">
        <v>39</v>
      </c>
      <c r="E38">
        <v>21</v>
      </c>
    </row>
    <row r="39" spans="1:5" x14ac:dyDescent="0.25">
      <c r="A39">
        <v>3.7</v>
      </c>
      <c r="B39">
        <v>69.44</v>
      </c>
      <c r="C39">
        <v>26.869999999999997</v>
      </c>
      <c r="D39">
        <v>41</v>
      </c>
      <c r="E39">
        <v>22</v>
      </c>
    </row>
    <row r="40" spans="1:5" x14ac:dyDescent="0.25">
      <c r="A40">
        <v>2.2999999999999998</v>
      </c>
      <c r="B40">
        <v>75.48</v>
      </c>
      <c r="C40">
        <v>22.22</v>
      </c>
      <c r="D40">
        <v>36</v>
      </c>
      <c r="E40">
        <v>28</v>
      </c>
    </row>
    <row r="41" spans="1:5" x14ac:dyDescent="0.25">
      <c r="A41">
        <v>5.4</v>
      </c>
      <c r="B41">
        <v>62.98</v>
      </c>
      <c r="C41">
        <v>31.62</v>
      </c>
      <c r="D41">
        <v>34</v>
      </c>
      <c r="E41">
        <v>21</v>
      </c>
    </row>
    <row r="42" spans="1:5" x14ac:dyDescent="0.25">
      <c r="A42">
        <v>40.200000000000003</v>
      </c>
      <c r="B42">
        <v>43.43</v>
      </c>
      <c r="C42">
        <v>16.36</v>
      </c>
      <c r="D42">
        <v>28</v>
      </c>
      <c r="E42">
        <v>20</v>
      </c>
    </row>
    <row r="43" spans="1:5" x14ac:dyDescent="0.25">
      <c r="A43">
        <v>3.2</v>
      </c>
      <c r="B43">
        <v>66.27</v>
      </c>
      <c r="C43">
        <v>30.54</v>
      </c>
      <c r="D43">
        <v>36</v>
      </c>
      <c r="E43">
        <v>22</v>
      </c>
    </row>
    <row r="44" spans="1:5" x14ac:dyDescent="0.25">
      <c r="A44">
        <v>1.5</v>
      </c>
      <c r="B44">
        <v>59.73</v>
      </c>
      <c r="C44">
        <v>38.770000000000003</v>
      </c>
      <c r="D44">
        <v>43</v>
      </c>
      <c r="E44">
        <v>20</v>
      </c>
    </row>
    <row r="45" spans="1:5" x14ac:dyDescent="0.25">
      <c r="A45">
        <v>36.6</v>
      </c>
      <c r="B45">
        <v>47.63</v>
      </c>
      <c r="C45">
        <v>15.77</v>
      </c>
      <c r="D45">
        <v>38</v>
      </c>
      <c r="E45">
        <v>21</v>
      </c>
    </row>
    <row r="46" spans="1:5" x14ac:dyDescent="0.25">
      <c r="A46">
        <v>1.7</v>
      </c>
      <c r="B46">
        <v>87.27</v>
      </c>
      <c r="C46">
        <v>11.03</v>
      </c>
      <c r="D46">
        <v>38</v>
      </c>
      <c r="E46">
        <v>27</v>
      </c>
    </row>
    <row r="47" spans="1:5" x14ac:dyDescent="0.25">
      <c r="A47">
        <v>9</v>
      </c>
      <c r="B47">
        <v>66.040000000000006</v>
      </c>
      <c r="C47">
        <v>24.96</v>
      </c>
      <c r="D47">
        <v>43</v>
      </c>
      <c r="E47">
        <v>23</v>
      </c>
    </row>
    <row r="48" spans="1:5" x14ac:dyDescent="0.25">
      <c r="A48">
        <v>1.9</v>
      </c>
      <c r="B48">
        <v>85.36</v>
      </c>
      <c r="C48">
        <v>12.75</v>
      </c>
      <c r="D48">
        <v>54</v>
      </c>
      <c r="E48">
        <v>37</v>
      </c>
    </row>
    <row r="49" spans="1:5" x14ac:dyDescent="0.25">
      <c r="A49">
        <v>45.9</v>
      </c>
      <c r="B49">
        <v>38.72</v>
      </c>
      <c r="C49">
        <v>15.38</v>
      </c>
      <c r="D49">
        <v>25</v>
      </c>
      <c r="E49">
        <v>18</v>
      </c>
    </row>
    <row r="50" spans="1:5" x14ac:dyDescent="0.25">
      <c r="A50">
        <v>11.5</v>
      </c>
      <c r="B50">
        <v>58.08</v>
      </c>
      <c r="C50">
        <v>30.42</v>
      </c>
      <c r="D50">
        <v>41</v>
      </c>
      <c r="E50">
        <v>21</v>
      </c>
    </row>
    <row r="51" spans="1:5" x14ac:dyDescent="0.25">
      <c r="A51">
        <v>1.3</v>
      </c>
      <c r="B51">
        <v>53.31</v>
      </c>
      <c r="C51">
        <v>45.39</v>
      </c>
      <c r="D51">
        <v>42</v>
      </c>
      <c r="E51">
        <v>23</v>
      </c>
    </row>
    <row r="52" spans="1:5" x14ac:dyDescent="0.25">
      <c r="A52">
        <v>2.7</v>
      </c>
      <c r="B52">
        <v>70.66</v>
      </c>
      <c r="C52">
        <v>26.64</v>
      </c>
      <c r="D52">
        <v>37</v>
      </c>
      <c r="E52">
        <v>23</v>
      </c>
    </row>
    <row r="53" spans="1:5" x14ac:dyDescent="0.25">
      <c r="A53">
        <v>3.7</v>
      </c>
      <c r="B53">
        <v>58.37</v>
      </c>
      <c r="C53">
        <v>37.93</v>
      </c>
      <c r="D53">
        <v>40</v>
      </c>
      <c r="E53">
        <v>22</v>
      </c>
    </row>
    <row r="54" spans="1:5" x14ac:dyDescent="0.25">
      <c r="A54">
        <v>8.3000000000000007</v>
      </c>
      <c r="B54">
        <v>54.14</v>
      </c>
      <c r="C54">
        <v>37.56</v>
      </c>
      <c r="D54">
        <v>34</v>
      </c>
      <c r="E54">
        <v>19</v>
      </c>
    </row>
    <row r="55" spans="1:5" x14ac:dyDescent="0.25">
      <c r="A55">
        <v>0.3</v>
      </c>
      <c r="B55">
        <v>22.69</v>
      </c>
      <c r="C55">
        <v>77.009999999999991</v>
      </c>
      <c r="D55">
        <v>40</v>
      </c>
      <c r="E55">
        <v>25</v>
      </c>
    </row>
    <row r="56" spans="1:5" x14ac:dyDescent="0.25">
      <c r="A56">
        <v>4.5999999999999996</v>
      </c>
      <c r="B56">
        <v>70.319999999999993</v>
      </c>
      <c r="C56">
        <v>25.08</v>
      </c>
      <c r="D56">
        <v>38</v>
      </c>
      <c r="E56">
        <v>26</v>
      </c>
    </row>
    <row r="57" spans="1:5" x14ac:dyDescent="0.25">
      <c r="A57">
        <v>1.2</v>
      </c>
      <c r="B57">
        <v>41.67</v>
      </c>
      <c r="C57">
        <v>57.13</v>
      </c>
      <c r="D57">
        <v>55</v>
      </c>
      <c r="E57">
        <v>27</v>
      </c>
    </row>
    <row r="58" spans="1:5" x14ac:dyDescent="0.25">
      <c r="A58">
        <v>0.7</v>
      </c>
      <c r="B58">
        <v>58.66</v>
      </c>
      <c r="C58">
        <v>40.64</v>
      </c>
      <c r="D58">
        <v>67</v>
      </c>
      <c r="E58">
        <v>36</v>
      </c>
    </row>
    <row r="59" spans="1:5" x14ac:dyDescent="0.25">
      <c r="A59">
        <v>8.1</v>
      </c>
      <c r="B59">
        <v>53.53</v>
      </c>
      <c r="C59">
        <v>38.369999999999997</v>
      </c>
      <c r="D59">
        <v>44</v>
      </c>
      <c r="E59">
        <v>19</v>
      </c>
    </row>
    <row r="60" spans="1:5" x14ac:dyDescent="0.25">
      <c r="A60">
        <v>0.7</v>
      </c>
      <c r="B60">
        <v>68</v>
      </c>
      <c r="C60">
        <v>31.29</v>
      </c>
      <c r="D60">
        <v>65</v>
      </c>
      <c r="E60">
        <v>32</v>
      </c>
    </row>
    <row r="61" spans="1:5" x14ac:dyDescent="0.25">
      <c r="A61">
        <v>2.1</v>
      </c>
      <c r="B61">
        <v>64.81</v>
      </c>
      <c r="C61">
        <v>33.090000000000003</v>
      </c>
      <c r="D61">
        <v>39</v>
      </c>
      <c r="E61">
        <v>22</v>
      </c>
    </row>
    <row r="62" spans="1:5" x14ac:dyDescent="0.25">
      <c r="A62">
        <v>7.8</v>
      </c>
      <c r="B62">
        <v>69.28</v>
      </c>
      <c r="C62">
        <v>22.92</v>
      </c>
      <c r="D62">
        <v>36</v>
      </c>
      <c r="E62">
        <v>21</v>
      </c>
    </row>
    <row r="63" spans="1:5" x14ac:dyDescent="0.25">
      <c r="A63">
        <v>17.8</v>
      </c>
      <c r="B63">
        <v>65.88</v>
      </c>
      <c r="C63">
        <v>16.32</v>
      </c>
      <c r="D63">
        <v>37</v>
      </c>
      <c r="E63">
        <v>23</v>
      </c>
    </row>
    <row r="64" spans="1:5" x14ac:dyDescent="0.25">
      <c r="A64">
        <v>2.4</v>
      </c>
      <c r="B64">
        <v>67.23</v>
      </c>
      <c r="C64">
        <v>30.37</v>
      </c>
      <c r="D64">
        <v>38</v>
      </c>
      <c r="E64">
        <v>23</v>
      </c>
    </row>
    <row r="65" spans="1:5" x14ac:dyDescent="0.25">
      <c r="A65">
        <v>4.5</v>
      </c>
      <c r="B65">
        <v>56.58</v>
      </c>
      <c r="C65">
        <v>38.92</v>
      </c>
      <c r="D65">
        <v>54</v>
      </c>
      <c r="E65">
        <v>32</v>
      </c>
    </row>
    <row r="66" spans="1:5" x14ac:dyDescent="0.25">
      <c r="A66">
        <v>3.1999999999999997</v>
      </c>
      <c r="B66">
        <v>61.77</v>
      </c>
      <c r="C66">
        <v>35.03</v>
      </c>
      <c r="D66">
        <v>37</v>
      </c>
      <c r="E66">
        <v>24</v>
      </c>
    </row>
    <row r="67" spans="1:5" x14ac:dyDescent="0.25">
      <c r="A67">
        <v>3.9</v>
      </c>
      <c r="B67">
        <v>64.2</v>
      </c>
      <c r="C67">
        <v>31.9</v>
      </c>
      <c r="D67">
        <v>37</v>
      </c>
      <c r="E67">
        <v>20</v>
      </c>
    </row>
    <row r="68" spans="1:5" x14ac:dyDescent="0.25">
      <c r="A68">
        <v>1.8</v>
      </c>
      <c r="B68">
        <v>62.5</v>
      </c>
      <c r="C68">
        <v>35.700000000000003</v>
      </c>
      <c r="D68">
        <v>42</v>
      </c>
      <c r="E68">
        <v>26</v>
      </c>
    </row>
    <row r="69" spans="1:5" x14ac:dyDescent="0.25">
      <c r="A69">
        <v>0.6</v>
      </c>
      <c r="B69">
        <v>37.1</v>
      </c>
      <c r="C69">
        <v>62.31</v>
      </c>
      <c r="D69">
        <v>48</v>
      </c>
      <c r="E69">
        <v>24</v>
      </c>
    </row>
    <row r="70" spans="1:5" x14ac:dyDescent="0.25">
      <c r="A70">
        <v>4.7</v>
      </c>
      <c r="B70">
        <v>68.37</v>
      </c>
      <c r="C70">
        <v>26.93</v>
      </c>
      <c r="D70">
        <v>40</v>
      </c>
      <c r="E70">
        <v>23</v>
      </c>
    </row>
    <row r="71" spans="1:5" x14ac:dyDescent="0.25">
      <c r="A71">
        <v>1.4</v>
      </c>
      <c r="B71">
        <v>64.52</v>
      </c>
      <c r="C71">
        <v>34.08</v>
      </c>
      <c r="D71">
        <v>43</v>
      </c>
      <c r="E71">
        <v>26</v>
      </c>
    </row>
    <row r="72" spans="1:5" x14ac:dyDescent="0.25">
      <c r="A72">
        <v>18.900000000000002</v>
      </c>
      <c r="B72">
        <v>39.43</v>
      </c>
      <c r="C72">
        <v>41.67</v>
      </c>
      <c r="D72">
        <v>39</v>
      </c>
      <c r="E72">
        <v>21</v>
      </c>
    </row>
    <row r="73" spans="1:5" x14ac:dyDescent="0.25">
      <c r="A73">
        <v>18.7</v>
      </c>
      <c r="B73">
        <v>41.15</v>
      </c>
      <c r="C73">
        <v>40.15</v>
      </c>
      <c r="D73">
        <v>62</v>
      </c>
      <c r="E73">
        <v>33</v>
      </c>
    </row>
    <row r="74" spans="1:5" x14ac:dyDescent="0.25">
      <c r="A74">
        <v>8</v>
      </c>
      <c r="B74">
        <v>65.8</v>
      </c>
      <c r="C74">
        <v>26.200000000000003</v>
      </c>
      <c r="D74">
        <v>38</v>
      </c>
      <c r="E74">
        <v>22</v>
      </c>
    </row>
    <row r="75" spans="1:5" x14ac:dyDescent="0.25">
      <c r="A75">
        <v>9.0999999999999979</v>
      </c>
      <c r="B75">
        <v>40.28</v>
      </c>
      <c r="C75">
        <v>50.62</v>
      </c>
      <c r="D75">
        <v>48</v>
      </c>
      <c r="E75">
        <v>24</v>
      </c>
    </row>
    <row r="76" spans="1:5" x14ac:dyDescent="0.25">
      <c r="A76">
        <v>2.2999999999999998</v>
      </c>
      <c r="B76">
        <v>60.76</v>
      </c>
      <c r="C76">
        <v>36.950000000000003</v>
      </c>
      <c r="D76">
        <v>48</v>
      </c>
      <c r="E76">
        <v>27</v>
      </c>
    </row>
    <row r="77" spans="1:5" x14ac:dyDescent="0.25">
      <c r="A77">
        <v>2</v>
      </c>
      <c r="B77">
        <v>48.16</v>
      </c>
      <c r="C77">
        <v>49.839999999999996</v>
      </c>
      <c r="D77">
        <v>56</v>
      </c>
      <c r="E77">
        <v>31</v>
      </c>
    </row>
    <row r="78" spans="1:5" x14ac:dyDescent="0.25">
      <c r="A78">
        <v>19</v>
      </c>
      <c r="B78">
        <v>41.91</v>
      </c>
      <c r="C78">
        <v>39.090000000000003</v>
      </c>
      <c r="D78">
        <v>54</v>
      </c>
      <c r="E78">
        <v>25</v>
      </c>
    </row>
    <row r="79" spans="1:5" x14ac:dyDescent="0.25">
      <c r="A79">
        <v>3.9</v>
      </c>
      <c r="B79">
        <v>51.52</v>
      </c>
      <c r="C79">
        <v>44.58</v>
      </c>
      <c r="D79">
        <v>48</v>
      </c>
      <c r="E79">
        <v>27</v>
      </c>
    </row>
    <row r="80" spans="1:5" x14ac:dyDescent="0.25">
      <c r="A80">
        <v>34.6</v>
      </c>
      <c r="B80">
        <v>48.81</v>
      </c>
      <c r="C80">
        <v>16.600000000000001</v>
      </c>
      <c r="D80">
        <v>22</v>
      </c>
      <c r="E80">
        <v>17</v>
      </c>
    </row>
    <row r="81" spans="1:5" x14ac:dyDescent="0.25">
      <c r="A81">
        <v>12.9</v>
      </c>
      <c r="B81">
        <v>56.32</v>
      </c>
      <c r="C81">
        <v>30.78</v>
      </c>
      <c r="D81">
        <v>48</v>
      </c>
      <c r="E81">
        <v>25</v>
      </c>
    </row>
    <row r="82" spans="1:5" x14ac:dyDescent="0.25">
      <c r="A82">
        <v>0.5</v>
      </c>
      <c r="B82">
        <v>48.3</v>
      </c>
      <c r="C82">
        <v>51.2</v>
      </c>
      <c r="D82">
        <v>59</v>
      </c>
      <c r="E82">
        <v>30</v>
      </c>
    </row>
    <row r="83" spans="1:5" x14ac:dyDescent="0.25">
      <c r="A83">
        <v>25.599999999999998</v>
      </c>
      <c r="B83">
        <v>51.74</v>
      </c>
      <c r="C83">
        <v>22.66</v>
      </c>
      <c r="D83">
        <v>31</v>
      </c>
      <c r="E83">
        <v>21</v>
      </c>
    </row>
    <row r="84" spans="1:5" x14ac:dyDescent="0.25">
      <c r="A84">
        <v>8</v>
      </c>
      <c r="B84">
        <v>51.08</v>
      </c>
      <c r="C84">
        <v>40.92</v>
      </c>
      <c r="D84">
        <v>51</v>
      </c>
      <c r="E84">
        <v>27</v>
      </c>
    </row>
    <row r="85" spans="1:5" x14ac:dyDescent="0.25">
      <c r="A85">
        <v>12</v>
      </c>
      <c r="B85">
        <v>44.35</v>
      </c>
      <c r="C85">
        <v>43.65</v>
      </c>
      <c r="D85">
        <v>41</v>
      </c>
      <c r="E85">
        <v>20</v>
      </c>
    </row>
    <row r="86" spans="1:5" x14ac:dyDescent="0.25">
      <c r="A86">
        <v>29.700000000000003</v>
      </c>
      <c r="B86">
        <v>44.56</v>
      </c>
      <c r="C86">
        <v>25.740000000000002</v>
      </c>
      <c r="D86">
        <v>37</v>
      </c>
      <c r="E86">
        <v>18</v>
      </c>
    </row>
    <row r="87" spans="1:5" x14ac:dyDescent="0.25">
      <c r="A87">
        <v>6.5</v>
      </c>
      <c r="B87">
        <v>49.6</v>
      </c>
      <c r="C87">
        <v>43.9</v>
      </c>
      <c r="D87">
        <v>59</v>
      </c>
      <c r="E87">
        <v>28</v>
      </c>
    </row>
    <row r="88" spans="1:5" x14ac:dyDescent="0.25">
      <c r="A88">
        <v>12.700000000000001</v>
      </c>
      <c r="B88">
        <v>62.29</v>
      </c>
      <c r="C88">
        <v>25.02</v>
      </c>
      <c r="D88">
        <v>42</v>
      </c>
      <c r="E88">
        <v>17</v>
      </c>
    </row>
    <row r="89" spans="1:5" x14ac:dyDescent="0.25">
      <c r="A89">
        <v>4.4000000000000004</v>
      </c>
      <c r="B89">
        <v>45.54</v>
      </c>
      <c r="C89">
        <v>50.06</v>
      </c>
      <c r="D89">
        <v>53</v>
      </c>
      <c r="E89">
        <v>26</v>
      </c>
    </row>
    <row r="90" spans="1:5" x14ac:dyDescent="0.25">
      <c r="A90">
        <v>10.700000000000001</v>
      </c>
      <c r="B90">
        <v>46.06</v>
      </c>
      <c r="C90">
        <v>43.24</v>
      </c>
      <c r="D90">
        <v>43</v>
      </c>
      <c r="E90">
        <v>23</v>
      </c>
    </row>
    <row r="91" spans="1:5" x14ac:dyDescent="0.25">
      <c r="A91">
        <v>31.599999999999998</v>
      </c>
      <c r="B91">
        <v>45.13</v>
      </c>
      <c r="C91">
        <v>23.27</v>
      </c>
      <c r="D91">
        <v>31</v>
      </c>
      <c r="E91">
        <v>19</v>
      </c>
    </row>
    <row r="92" spans="1:5" x14ac:dyDescent="0.25">
      <c r="A92">
        <v>3.4</v>
      </c>
      <c r="B92">
        <v>45.2</v>
      </c>
      <c r="C92">
        <v>51.4</v>
      </c>
      <c r="D92">
        <v>46</v>
      </c>
      <c r="E92">
        <v>25</v>
      </c>
    </row>
    <row r="93" spans="1:5" x14ac:dyDescent="0.25">
      <c r="A93">
        <v>2.2000000000000002</v>
      </c>
      <c r="B93">
        <v>56.58</v>
      </c>
      <c r="C93">
        <v>41.22</v>
      </c>
      <c r="D93">
        <v>43</v>
      </c>
      <c r="E93">
        <v>24</v>
      </c>
    </row>
    <row r="94" spans="1:5" x14ac:dyDescent="0.25">
      <c r="A94">
        <v>15.299999999999999</v>
      </c>
      <c r="B94">
        <v>52.24</v>
      </c>
      <c r="C94">
        <v>32.450000000000003</v>
      </c>
      <c r="D94">
        <v>49</v>
      </c>
      <c r="E94">
        <v>24</v>
      </c>
    </row>
    <row r="95" spans="1:5" x14ac:dyDescent="0.25">
      <c r="A95">
        <v>1.5</v>
      </c>
      <c r="B95">
        <v>48.03</v>
      </c>
      <c r="C95">
        <v>50.47</v>
      </c>
      <c r="D95">
        <v>44</v>
      </c>
      <c r="E95">
        <v>26</v>
      </c>
    </row>
    <row r="96" spans="1:5" x14ac:dyDescent="0.25">
      <c r="A96">
        <v>20.700000000000003</v>
      </c>
      <c r="B96">
        <v>58.34</v>
      </c>
      <c r="C96">
        <v>20.96</v>
      </c>
      <c r="D96">
        <v>31</v>
      </c>
      <c r="E96">
        <v>20</v>
      </c>
    </row>
    <row r="97" spans="1:5" x14ac:dyDescent="0.25">
      <c r="A97">
        <v>23.799999999999997</v>
      </c>
      <c r="B97">
        <v>54.82</v>
      </c>
      <c r="C97">
        <v>21.39</v>
      </c>
      <c r="D97">
        <v>33</v>
      </c>
      <c r="E97">
        <v>22</v>
      </c>
    </row>
    <row r="98" spans="1:5" x14ac:dyDescent="0.25">
      <c r="A98">
        <v>6.9</v>
      </c>
      <c r="B98">
        <v>56.56</v>
      </c>
      <c r="C98">
        <v>36.54</v>
      </c>
      <c r="D98">
        <v>53</v>
      </c>
      <c r="E98">
        <v>26</v>
      </c>
    </row>
    <row r="99" spans="1:5" x14ac:dyDescent="0.25">
      <c r="A99">
        <v>22.8</v>
      </c>
      <c r="B99">
        <v>55.13</v>
      </c>
      <c r="C99">
        <v>22.07</v>
      </c>
      <c r="D99">
        <v>30</v>
      </c>
      <c r="E99">
        <v>19</v>
      </c>
    </row>
    <row r="100" spans="1:5" x14ac:dyDescent="0.25">
      <c r="A100">
        <v>0.6</v>
      </c>
      <c r="B100">
        <v>29.3</v>
      </c>
      <c r="C100">
        <v>70.099999999999994</v>
      </c>
      <c r="D100">
        <v>58</v>
      </c>
      <c r="E100">
        <v>29</v>
      </c>
    </row>
    <row r="101" spans="1:5" x14ac:dyDescent="0.25">
      <c r="A101">
        <v>5.0999999999999996</v>
      </c>
      <c r="B101">
        <v>55.32</v>
      </c>
      <c r="C101">
        <v>39.58</v>
      </c>
      <c r="D101">
        <v>50</v>
      </c>
      <c r="E101">
        <v>25</v>
      </c>
    </row>
    <row r="102" spans="1:5" x14ac:dyDescent="0.25">
      <c r="A102">
        <v>24.4</v>
      </c>
      <c r="B102">
        <v>38.04</v>
      </c>
      <c r="C102">
        <v>37.56</v>
      </c>
      <c r="D102">
        <v>33</v>
      </c>
      <c r="E102">
        <v>23</v>
      </c>
    </row>
    <row r="103" spans="1:5" x14ac:dyDescent="0.25">
      <c r="A103">
        <v>2.4</v>
      </c>
      <c r="B103">
        <v>55.39</v>
      </c>
      <c r="C103">
        <v>42.21</v>
      </c>
      <c r="D103">
        <v>48</v>
      </c>
      <c r="E103">
        <v>23</v>
      </c>
    </row>
    <row r="104" spans="1:5" x14ac:dyDescent="0.25">
      <c r="A104">
        <v>1.1000000000000001</v>
      </c>
      <c r="B104">
        <v>49.61</v>
      </c>
      <c r="C104">
        <v>49.290000000000006</v>
      </c>
      <c r="D104">
        <v>52</v>
      </c>
      <c r="E104">
        <v>22</v>
      </c>
    </row>
    <row r="105" spans="1:5" x14ac:dyDescent="0.25">
      <c r="A105">
        <v>1.8</v>
      </c>
      <c r="B105">
        <v>38.6</v>
      </c>
      <c r="C105">
        <v>59.6</v>
      </c>
      <c r="D105">
        <v>57</v>
      </c>
      <c r="E105">
        <v>24</v>
      </c>
    </row>
    <row r="106" spans="1:5" x14ac:dyDescent="0.25">
      <c r="A106">
        <v>14.2</v>
      </c>
      <c r="B106">
        <v>45.45</v>
      </c>
      <c r="C106">
        <v>40.35</v>
      </c>
      <c r="D106">
        <v>41</v>
      </c>
      <c r="E106">
        <v>18</v>
      </c>
    </row>
    <row r="107" spans="1:5" x14ac:dyDescent="0.25">
      <c r="A107">
        <v>1.6</v>
      </c>
      <c r="B107">
        <v>77</v>
      </c>
      <c r="C107">
        <v>21.41</v>
      </c>
      <c r="D107">
        <v>37</v>
      </c>
      <c r="E107">
        <v>24</v>
      </c>
    </row>
    <row r="108" spans="1:5" x14ac:dyDescent="0.25">
      <c r="A108">
        <v>11</v>
      </c>
      <c r="B108">
        <v>58</v>
      </c>
      <c r="C108">
        <v>31</v>
      </c>
      <c r="D108">
        <v>42</v>
      </c>
      <c r="E108">
        <v>24</v>
      </c>
    </row>
    <row r="109" spans="1:5" x14ac:dyDescent="0.25">
      <c r="A109">
        <v>22.5</v>
      </c>
      <c r="B109">
        <v>57.03</v>
      </c>
      <c r="C109">
        <v>20.47</v>
      </c>
      <c r="D109">
        <v>30</v>
      </c>
      <c r="E109">
        <v>21</v>
      </c>
    </row>
    <row r="110" spans="1:5" x14ac:dyDescent="0.25">
      <c r="A110">
        <v>8</v>
      </c>
      <c r="B110">
        <v>41.86</v>
      </c>
      <c r="C110">
        <v>50.14</v>
      </c>
      <c r="D110">
        <v>43</v>
      </c>
      <c r="E110">
        <v>25</v>
      </c>
    </row>
    <row r="111" spans="1:5" x14ac:dyDescent="0.25">
      <c r="A111">
        <v>41.8</v>
      </c>
      <c r="B111">
        <v>34.880000000000003</v>
      </c>
      <c r="C111">
        <v>23.32</v>
      </c>
      <c r="D111">
        <v>32</v>
      </c>
      <c r="E111">
        <v>19</v>
      </c>
    </row>
    <row r="112" spans="1:5" x14ac:dyDescent="0.25">
      <c r="A112">
        <v>34.1</v>
      </c>
      <c r="B112">
        <v>55.94</v>
      </c>
      <c r="C112">
        <v>9.9599999999999991</v>
      </c>
      <c r="D112">
        <v>40</v>
      </c>
      <c r="E112">
        <v>22</v>
      </c>
    </row>
    <row r="113" spans="1:5" x14ac:dyDescent="0.25">
      <c r="A113">
        <v>15</v>
      </c>
      <c r="B113">
        <v>75.239999999999995</v>
      </c>
      <c r="C113">
        <v>9.75</v>
      </c>
      <c r="D113">
        <v>55</v>
      </c>
      <c r="E113">
        <v>32</v>
      </c>
    </row>
    <row r="114" spans="1:5" x14ac:dyDescent="0.25">
      <c r="A114">
        <v>2.8</v>
      </c>
      <c r="B114">
        <v>62.13</v>
      </c>
      <c r="C114">
        <v>35.08</v>
      </c>
      <c r="D114">
        <v>54</v>
      </c>
      <c r="E114">
        <v>26</v>
      </c>
    </row>
    <row r="115" spans="1:5" x14ac:dyDescent="0.25">
      <c r="A115">
        <v>13.3</v>
      </c>
      <c r="B115">
        <v>47.05</v>
      </c>
      <c r="C115">
        <v>39.65</v>
      </c>
      <c r="D115">
        <v>36</v>
      </c>
      <c r="E115">
        <v>16</v>
      </c>
    </row>
    <row r="116" spans="1:5" x14ac:dyDescent="0.25">
      <c r="A116">
        <v>39.4</v>
      </c>
      <c r="B116">
        <v>40.06</v>
      </c>
      <c r="C116">
        <v>20.54</v>
      </c>
      <c r="D116">
        <v>37</v>
      </c>
      <c r="E116">
        <v>16</v>
      </c>
    </row>
    <row r="117" spans="1:5" x14ac:dyDescent="0.25">
      <c r="A117">
        <v>1</v>
      </c>
      <c r="B117">
        <v>75.28</v>
      </c>
      <c r="C117">
        <v>23.72</v>
      </c>
      <c r="D117">
        <v>45</v>
      </c>
      <c r="E117">
        <v>26</v>
      </c>
    </row>
    <row r="118" spans="1:5" x14ac:dyDescent="0.25">
      <c r="A118">
        <v>17</v>
      </c>
      <c r="B118">
        <v>75.739999999999995</v>
      </c>
      <c r="C118">
        <v>7.26</v>
      </c>
      <c r="D118">
        <v>31</v>
      </c>
      <c r="E118">
        <v>21</v>
      </c>
    </row>
    <row r="119" spans="1:5" x14ac:dyDescent="0.25">
      <c r="A119">
        <v>16.7</v>
      </c>
      <c r="B119">
        <v>35.799999999999997</v>
      </c>
      <c r="C119">
        <v>47.510000000000005</v>
      </c>
      <c r="D119">
        <v>52</v>
      </c>
      <c r="E119">
        <v>24</v>
      </c>
    </row>
    <row r="120" spans="1:5" x14ac:dyDescent="0.25">
      <c r="A120">
        <v>10.9</v>
      </c>
      <c r="B120">
        <v>60.83</v>
      </c>
      <c r="C120">
        <v>28.27</v>
      </c>
      <c r="D120">
        <v>48</v>
      </c>
      <c r="E120">
        <v>23</v>
      </c>
    </row>
    <row r="121" spans="1:5" x14ac:dyDescent="0.25">
      <c r="A121">
        <v>2.9</v>
      </c>
      <c r="B121">
        <v>47.57</v>
      </c>
      <c r="C121">
        <v>49.53</v>
      </c>
      <c r="D121">
        <v>65</v>
      </c>
      <c r="E121">
        <v>33</v>
      </c>
    </row>
    <row r="122" spans="1:5" x14ac:dyDescent="0.25">
      <c r="A122">
        <v>6.3000000000000007</v>
      </c>
      <c r="B122">
        <v>82.7</v>
      </c>
      <c r="C122">
        <v>11</v>
      </c>
      <c r="D122">
        <v>41</v>
      </c>
      <c r="E122">
        <v>23</v>
      </c>
    </row>
    <row r="123" spans="1:5" x14ac:dyDescent="0.25">
      <c r="A123">
        <v>1.6</v>
      </c>
      <c r="B123">
        <v>73.81</v>
      </c>
      <c r="C123">
        <v>24.59</v>
      </c>
      <c r="D123">
        <v>46</v>
      </c>
      <c r="E123">
        <v>24</v>
      </c>
    </row>
    <row r="124" spans="1:5" x14ac:dyDescent="0.25">
      <c r="A124">
        <v>0.6</v>
      </c>
      <c r="B124">
        <v>74.3</v>
      </c>
      <c r="C124">
        <v>25.099999999999998</v>
      </c>
      <c r="D124">
        <v>50</v>
      </c>
      <c r="E124">
        <v>27</v>
      </c>
    </row>
    <row r="125" spans="1:5" x14ac:dyDescent="0.25">
      <c r="A125">
        <v>2.1</v>
      </c>
      <c r="B125">
        <v>42.99</v>
      </c>
      <c r="C125">
        <v>54.91</v>
      </c>
      <c r="D125">
        <v>59</v>
      </c>
      <c r="E125">
        <v>27</v>
      </c>
    </row>
    <row r="126" spans="1:5" x14ac:dyDescent="0.25">
      <c r="A126">
        <v>15</v>
      </c>
      <c r="B126">
        <v>57.77</v>
      </c>
      <c r="C126">
        <v>27.23</v>
      </c>
      <c r="D126">
        <v>45</v>
      </c>
      <c r="E126">
        <v>26</v>
      </c>
    </row>
    <row r="127" spans="1:5" x14ac:dyDescent="0.25">
      <c r="A127">
        <v>24.2</v>
      </c>
      <c r="B127">
        <v>48.15</v>
      </c>
      <c r="C127">
        <v>27.65</v>
      </c>
      <c r="D127">
        <v>28</v>
      </c>
      <c r="E127">
        <v>16</v>
      </c>
    </row>
    <row r="128" spans="1:5" x14ac:dyDescent="0.25">
      <c r="A128">
        <v>3.1</v>
      </c>
      <c r="B128">
        <v>62.94</v>
      </c>
      <c r="C128">
        <v>33.96</v>
      </c>
      <c r="D128">
        <v>48</v>
      </c>
      <c r="E128">
        <v>24</v>
      </c>
    </row>
    <row r="129" spans="1:5" x14ac:dyDescent="0.25">
      <c r="A129">
        <v>3.7</v>
      </c>
      <c r="B129">
        <v>65.239999999999995</v>
      </c>
      <c r="C129">
        <v>31.060000000000002</v>
      </c>
      <c r="D129">
        <v>45</v>
      </c>
      <c r="E129">
        <v>26</v>
      </c>
    </row>
    <row r="130" spans="1:5" x14ac:dyDescent="0.25">
      <c r="A130">
        <v>59</v>
      </c>
      <c r="B130">
        <v>28.26</v>
      </c>
      <c r="C130">
        <v>12.74</v>
      </c>
      <c r="D130">
        <v>34</v>
      </c>
      <c r="E130">
        <v>17</v>
      </c>
    </row>
    <row r="131" spans="1:5" x14ac:dyDescent="0.25">
      <c r="A131">
        <v>10.8</v>
      </c>
      <c r="B131">
        <v>49.54</v>
      </c>
      <c r="C131">
        <v>39.659999999999997</v>
      </c>
      <c r="D131">
        <v>55</v>
      </c>
      <c r="E131">
        <v>27</v>
      </c>
    </row>
    <row r="132" spans="1:5" x14ac:dyDescent="0.25">
      <c r="A132">
        <v>50.8</v>
      </c>
      <c r="B132">
        <v>33.03</v>
      </c>
      <c r="C132">
        <v>16.170000000000002</v>
      </c>
      <c r="D132">
        <v>32</v>
      </c>
      <c r="E132">
        <v>22</v>
      </c>
    </row>
    <row r="133" spans="1:5" x14ac:dyDescent="0.25">
      <c r="A133">
        <v>25.8</v>
      </c>
      <c r="B133">
        <v>62.84</v>
      </c>
      <c r="C133">
        <v>11.37</v>
      </c>
      <c r="D133">
        <v>36</v>
      </c>
      <c r="E133">
        <v>20</v>
      </c>
    </row>
    <row r="134" spans="1:5" x14ac:dyDescent="0.25">
      <c r="A134">
        <v>14</v>
      </c>
      <c r="B134">
        <v>36.46</v>
      </c>
      <c r="C134">
        <v>49.540000000000006</v>
      </c>
      <c r="D134">
        <v>54</v>
      </c>
      <c r="E134">
        <v>20</v>
      </c>
    </row>
    <row r="135" spans="1:5" x14ac:dyDescent="0.25">
      <c r="A135">
        <v>18.3</v>
      </c>
      <c r="B135">
        <v>50.8</v>
      </c>
      <c r="C135">
        <v>30.9</v>
      </c>
      <c r="D135">
        <v>36</v>
      </c>
      <c r="E135">
        <v>17</v>
      </c>
    </row>
    <row r="136" spans="1:5" x14ac:dyDescent="0.25">
      <c r="A136">
        <v>65.099999999999994</v>
      </c>
      <c r="B136">
        <v>26.03</v>
      </c>
      <c r="C136">
        <v>8.870000000000001</v>
      </c>
      <c r="D136">
        <v>23</v>
      </c>
      <c r="E136">
        <v>15</v>
      </c>
    </row>
    <row r="137" spans="1:5" x14ac:dyDescent="0.25">
      <c r="A137">
        <v>48.8</v>
      </c>
      <c r="B137">
        <v>44.07</v>
      </c>
      <c r="C137">
        <v>7.13</v>
      </c>
      <c r="D137">
        <v>48</v>
      </c>
      <c r="E137">
        <v>25</v>
      </c>
    </row>
    <row r="138" spans="1:5" x14ac:dyDescent="0.25">
      <c r="A138">
        <v>2.5999999999999996</v>
      </c>
      <c r="B138">
        <v>63.52</v>
      </c>
      <c r="C138">
        <v>33.879999999999995</v>
      </c>
      <c r="D138">
        <v>38</v>
      </c>
      <c r="E138">
        <v>21</v>
      </c>
    </row>
    <row r="139" spans="1:5" x14ac:dyDescent="0.25">
      <c r="A139">
        <v>3</v>
      </c>
      <c r="B139">
        <v>73.42</v>
      </c>
      <c r="C139">
        <v>23.580000000000002</v>
      </c>
      <c r="D139">
        <v>45</v>
      </c>
      <c r="E139">
        <v>23</v>
      </c>
    </row>
    <row r="140" spans="1:5" x14ac:dyDescent="0.25">
      <c r="A140">
        <v>20.6</v>
      </c>
      <c r="B140">
        <v>64.569999999999993</v>
      </c>
      <c r="C140">
        <v>14.82</v>
      </c>
      <c r="D140">
        <v>35</v>
      </c>
      <c r="E140">
        <v>20</v>
      </c>
    </row>
    <row r="141" spans="1:5" x14ac:dyDescent="0.25">
      <c r="A141">
        <v>27.3</v>
      </c>
      <c r="B141">
        <v>49.77</v>
      </c>
      <c r="C141">
        <v>22.94</v>
      </c>
      <c r="D141">
        <v>30</v>
      </c>
      <c r="E141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54"/>
      <c r="L7" s="254"/>
      <c r="M7" s="254"/>
      <c r="N7" s="254"/>
      <c r="O7" s="254"/>
      <c r="P7" s="255"/>
      <c r="Q7" s="255"/>
      <c r="R7" s="255"/>
      <c r="S7" s="85"/>
      <c r="T7" s="256"/>
      <c r="U7" s="257"/>
      <c r="V7" s="257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68" t="s">
        <v>142</v>
      </c>
      <c r="C8" s="268"/>
      <c r="D8" s="268"/>
      <c r="E8" s="268"/>
      <c r="F8" s="256" t="s">
        <v>45</v>
      </c>
      <c r="G8" s="280" t="s">
        <v>144</v>
      </c>
      <c r="H8" s="280"/>
      <c r="I8" s="280"/>
      <c r="J8" s="84"/>
      <c r="K8" s="254"/>
      <c r="L8" s="254"/>
      <c r="M8" s="254"/>
      <c r="N8" s="254"/>
      <c r="O8" s="254"/>
      <c r="P8" s="255"/>
      <c r="Q8" s="255"/>
      <c r="R8" s="255"/>
      <c r="S8" s="85"/>
      <c r="T8" s="258"/>
      <c r="U8" s="258"/>
      <c r="V8" s="257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56"/>
      <c r="G9" s="280"/>
      <c r="H9" s="280"/>
      <c r="I9" s="280"/>
      <c r="J9" s="84"/>
      <c r="K9" s="254"/>
      <c r="L9" s="254"/>
      <c r="M9" s="254"/>
      <c r="N9" s="254"/>
      <c r="O9" s="254"/>
      <c r="P9" s="254"/>
      <c r="Q9" s="254"/>
      <c r="R9" s="254"/>
      <c r="S9" s="85"/>
      <c r="T9" s="87"/>
      <c r="U9" s="258"/>
      <c r="V9" s="257"/>
      <c r="AG9" s="34"/>
      <c r="AH9" s="34"/>
      <c r="AI9" s="34"/>
      <c r="AJ9" s="34"/>
      <c r="AK9" s="34"/>
    </row>
    <row r="10" spans="1:37" x14ac:dyDescent="0.25">
      <c r="A10" s="84" t="s">
        <v>94</v>
      </c>
      <c r="B10" s="268" t="s">
        <v>145</v>
      </c>
      <c r="C10" s="268"/>
      <c r="D10" s="268"/>
      <c r="E10" s="268"/>
      <c r="F10" s="256"/>
      <c r="G10" s="280"/>
      <c r="H10" s="280"/>
      <c r="I10" s="280"/>
      <c r="J10" s="84"/>
      <c r="K10" s="96"/>
      <c r="L10" s="262"/>
      <c r="M10" s="262"/>
      <c r="N10" s="262"/>
      <c r="O10" s="262"/>
      <c r="P10" s="262"/>
      <c r="Q10" s="262"/>
      <c r="R10" s="262"/>
      <c r="S10" s="262"/>
      <c r="T10" s="263"/>
      <c r="U10" s="263"/>
      <c r="V10" s="263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56"/>
      <c r="G11" s="280"/>
      <c r="H11" s="280"/>
      <c r="I11" s="280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79" t="s">
        <v>154</v>
      </c>
      <c r="H13" s="279"/>
      <c r="I13" s="279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79"/>
      <c r="H14" s="279"/>
      <c r="I14" s="279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0.8</v>
      </c>
      <c r="M18" s="54">
        <f t="shared" si="1"/>
        <v>0.8</v>
      </c>
      <c r="N18" s="54">
        <f>SUM(M15:M18)</f>
        <v>0.8</v>
      </c>
      <c r="O18" s="54">
        <f t="shared" si="0"/>
        <v>99.2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1.7</v>
      </c>
      <c r="M19" s="54">
        <f t="shared" si="1"/>
        <v>1.7000000000000002</v>
      </c>
      <c r="N19" s="54">
        <f>SUM(M15:M19)</f>
        <v>2.5</v>
      </c>
      <c r="O19" s="54">
        <f t="shared" si="0"/>
        <v>97.5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2.6</v>
      </c>
      <c r="M20" s="54">
        <f t="shared" si="1"/>
        <v>2.6</v>
      </c>
      <c r="N20" s="54">
        <f>SUM(M15:M20)</f>
        <v>5.0999999999999996</v>
      </c>
      <c r="O20" s="54">
        <f t="shared" si="0"/>
        <v>94.9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1.7</v>
      </c>
      <c r="M21" s="54">
        <f t="shared" si="1"/>
        <v>1.7000000000000002</v>
      </c>
      <c r="N21" s="54">
        <f>SUM(M15:M21)</f>
        <v>6.8</v>
      </c>
      <c r="O21" s="54">
        <f t="shared" si="0"/>
        <v>93.2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 t="e">
        <f>'input-output'!#REF!</f>
        <v>#REF!</v>
      </c>
      <c r="M22" s="54" t="e">
        <f t="shared" si="1"/>
        <v>#REF!</v>
      </c>
      <c r="N22" s="112" t="e">
        <f>IF(SUM(M15:M22)=100,100,"Adjust wt.")</f>
        <v>#REF!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64" t="s">
        <v>51</v>
      </c>
      <c r="N27" s="265"/>
      <c r="O27" s="29" t="s">
        <v>52</v>
      </c>
      <c r="P27" s="31"/>
      <c r="Q27" s="266">
        <v>867452</v>
      </c>
      <c r="R27" s="267"/>
      <c r="S27" s="33" t="s">
        <v>55</v>
      </c>
      <c r="T27" s="32"/>
      <c r="U27" s="32"/>
      <c r="V27" s="66">
        <f>GS</f>
        <v>2.38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59" t="s">
        <v>86</v>
      </c>
      <c r="M30" s="260"/>
      <c r="N30" s="260"/>
      <c r="O30" s="260"/>
      <c r="P30" s="260"/>
      <c r="Q30" s="260"/>
      <c r="R30" s="261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2.5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69" t="s">
        <v>103</v>
      </c>
      <c r="L35" s="26">
        <f>'input-output'!F5</f>
        <v>0.25</v>
      </c>
      <c r="M35" s="26">
        <f>'input-output'!G5</f>
        <v>48</v>
      </c>
      <c r="N35" s="26">
        <f>'input-output'!H5</f>
        <v>29</v>
      </c>
      <c r="O35" s="11">
        <f t="shared" ref="O35:O49" si="2">M35-$L$31+$V$31+ROUND(0.0001220529*N35^4-0.0097599296*N35^3+0.2949228983*N35^2-3.7542171086*N35+15.6302691117,1)</f>
        <v>49.1</v>
      </c>
      <c r="P35" s="27">
        <f t="shared" ref="P35:P49" si="3">O35/$U$29*$P$52*100</f>
        <v>105.45010600000001</v>
      </c>
      <c r="Q35" s="27">
        <f t="shared" ref="Q35:Q49" si="4">P35*$O$21/100</f>
        <v>98.279498792000012</v>
      </c>
      <c r="R35" s="11">
        <f t="shared" ref="R35:R49" si="5">M35+$V$31</f>
        <v>48.5</v>
      </c>
      <c r="S35" s="11">
        <f t="shared" ref="S35:S49" si="6">ROUND(($M$28-$M$29)/($K$28-$K$29)*(R35-$K$28)+$M$28+0.5*(Ltwo-Vb/Agrad),1)</f>
        <v>8.6</v>
      </c>
      <c r="T35" s="11">
        <f t="shared" ref="T35:T49" si="7">ROUND(-0.000005006464124*N35^2-0.00000484550743*N35+1.00033065352292,5)</f>
        <v>0.99597999999999998</v>
      </c>
      <c r="U35" s="11">
        <f t="shared" ref="U35:U49" si="8">ROUND(0.000000000347305*N35^4-0.00000010799529*N35^3+0.000010444897593*N35^2-0.00054383241282*N35+0.017557582729184,5)</f>
        <v>8.1799999999999998E-3</v>
      </c>
      <c r="V35" s="12">
        <f t="shared" ref="V35:V49" si="9">ROUND( (30*U35/980/(GS-T35)*S35/L35)^0.5,5)</f>
        <v>7.8890000000000002E-2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70"/>
      <c r="L36" s="26">
        <f>'input-output'!F6</f>
        <v>0.5</v>
      </c>
      <c r="M36" s="26">
        <f>'input-output'!G6</f>
        <v>46</v>
      </c>
      <c r="N36" s="26">
        <f>'input-output'!H6</f>
        <v>29</v>
      </c>
      <c r="O36" s="11">
        <f t="shared" si="2"/>
        <v>47.1</v>
      </c>
      <c r="P36" s="27">
        <f t="shared" si="3"/>
        <v>101.154786</v>
      </c>
      <c r="Q36" s="27">
        <f t="shared" si="4"/>
        <v>94.276260551999997</v>
      </c>
      <c r="R36" s="11">
        <f t="shared" si="5"/>
        <v>46.5</v>
      </c>
      <c r="S36" s="11">
        <f t="shared" si="6"/>
        <v>9</v>
      </c>
      <c r="T36" s="11">
        <f t="shared" si="7"/>
        <v>0.99597999999999998</v>
      </c>
      <c r="U36" s="11">
        <f t="shared" si="8"/>
        <v>8.1799999999999998E-3</v>
      </c>
      <c r="V36" s="12">
        <f t="shared" si="9"/>
        <v>5.7070000000000003E-2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70"/>
      <c r="L37" s="26">
        <f>'input-output'!F7</f>
        <v>1</v>
      </c>
      <c r="M37" s="26">
        <f>'input-output'!G7</f>
        <v>42</v>
      </c>
      <c r="N37" s="26">
        <f>'input-output'!H7</f>
        <v>29</v>
      </c>
      <c r="O37" s="11">
        <f t="shared" si="2"/>
        <v>43.1</v>
      </c>
      <c r="P37" s="27">
        <f t="shared" si="3"/>
        <v>92.564146000000008</v>
      </c>
      <c r="Q37" s="27">
        <f t="shared" si="4"/>
        <v>86.269784072000007</v>
      </c>
      <c r="R37" s="11">
        <f t="shared" si="5"/>
        <v>42.5</v>
      </c>
      <c r="S37" s="11">
        <f t="shared" si="6"/>
        <v>9.6</v>
      </c>
      <c r="T37" s="11">
        <f t="shared" si="7"/>
        <v>0.99597999999999998</v>
      </c>
      <c r="U37" s="11">
        <f t="shared" si="8"/>
        <v>8.1799999999999998E-3</v>
      </c>
      <c r="V37" s="12">
        <f t="shared" si="9"/>
        <v>4.1680000000000002E-2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70"/>
      <c r="L38" s="26">
        <f>'input-output'!F8</f>
        <v>2</v>
      </c>
      <c r="M38" s="26">
        <f>'input-output'!G8</f>
        <v>39</v>
      </c>
      <c r="N38" s="26">
        <f>'input-output'!H8</f>
        <v>29</v>
      </c>
      <c r="O38" s="11">
        <f t="shared" si="2"/>
        <v>40.1</v>
      </c>
      <c r="P38" s="27">
        <f t="shared" si="3"/>
        <v>86.121166000000002</v>
      </c>
      <c r="Q38" s="27">
        <f t="shared" si="4"/>
        <v>80.264926712000005</v>
      </c>
      <c r="R38" s="11">
        <f t="shared" si="5"/>
        <v>39.5</v>
      </c>
      <c r="S38" s="11">
        <f t="shared" si="6"/>
        <v>10.1</v>
      </c>
      <c r="T38" s="11">
        <f t="shared" si="7"/>
        <v>0.99597999999999998</v>
      </c>
      <c r="U38" s="11">
        <f t="shared" si="8"/>
        <v>8.1799999999999998E-3</v>
      </c>
      <c r="V38" s="12">
        <f t="shared" si="9"/>
        <v>3.023E-2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70"/>
      <c r="L39" s="26">
        <f>'input-output'!F9</f>
        <v>4</v>
      </c>
      <c r="M39" s="26">
        <f>'input-output'!G9</f>
        <v>36.5</v>
      </c>
      <c r="N39" s="26">
        <f>'input-output'!H9</f>
        <v>29</v>
      </c>
      <c r="O39" s="11">
        <f t="shared" si="2"/>
        <v>37.6</v>
      </c>
      <c r="P39" s="27">
        <f t="shared" si="3"/>
        <v>80.752015999999998</v>
      </c>
      <c r="Q39" s="27">
        <f t="shared" si="4"/>
        <v>75.260878911999995</v>
      </c>
      <c r="R39" s="11">
        <f t="shared" si="5"/>
        <v>37</v>
      </c>
      <c r="S39" s="11">
        <f t="shared" si="6"/>
        <v>10.5</v>
      </c>
      <c r="T39" s="11">
        <f t="shared" si="7"/>
        <v>0.99597999999999998</v>
      </c>
      <c r="U39" s="11">
        <f t="shared" si="8"/>
        <v>8.1799999999999998E-3</v>
      </c>
      <c r="V39" s="12">
        <f t="shared" si="9"/>
        <v>2.179E-2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70"/>
      <c r="L40" s="26">
        <f>'input-output'!F10</f>
        <v>8</v>
      </c>
      <c r="M40" s="26">
        <f>'input-output'!G10</f>
        <v>32</v>
      </c>
      <c r="N40" s="26">
        <f>'input-output'!H10</f>
        <v>29</v>
      </c>
      <c r="O40" s="11">
        <f t="shared" si="2"/>
        <v>33.1</v>
      </c>
      <c r="P40" s="27">
        <f t="shared" si="3"/>
        <v>71.087546000000017</v>
      </c>
      <c r="Q40" s="27">
        <f t="shared" si="4"/>
        <v>66.253592872000013</v>
      </c>
      <c r="R40" s="11">
        <f t="shared" si="5"/>
        <v>32.5</v>
      </c>
      <c r="S40" s="11">
        <f t="shared" si="6"/>
        <v>11.3</v>
      </c>
      <c r="T40" s="11">
        <f t="shared" si="7"/>
        <v>0.99597999999999998</v>
      </c>
      <c r="U40" s="11">
        <f t="shared" si="8"/>
        <v>8.1799999999999998E-3</v>
      </c>
      <c r="V40" s="12">
        <f t="shared" si="9"/>
        <v>1.5990000000000001E-2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70"/>
      <c r="L41" s="26">
        <f>'input-output'!F11</f>
        <v>15</v>
      </c>
      <c r="M41" s="26">
        <f>'input-output'!G11</f>
        <v>28.5</v>
      </c>
      <c r="N41" s="26">
        <f>'input-output'!H11</f>
        <v>29</v>
      </c>
      <c r="O41" s="11">
        <f t="shared" si="2"/>
        <v>29.6</v>
      </c>
      <c r="P41" s="27">
        <f t="shared" si="3"/>
        <v>63.570736000000018</v>
      </c>
      <c r="Q41" s="27">
        <f t="shared" si="4"/>
        <v>59.247925952000017</v>
      </c>
      <c r="R41" s="11">
        <f t="shared" si="5"/>
        <v>29</v>
      </c>
      <c r="S41" s="11">
        <f t="shared" si="6"/>
        <v>11.8</v>
      </c>
      <c r="T41" s="11">
        <f t="shared" si="7"/>
        <v>0.99597999999999998</v>
      </c>
      <c r="U41" s="11">
        <f t="shared" si="8"/>
        <v>8.1799999999999998E-3</v>
      </c>
      <c r="V41" s="12">
        <f t="shared" si="9"/>
        <v>1.193E-2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70"/>
      <c r="L42" s="26">
        <f>'input-output'!F12</f>
        <v>30</v>
      </c>
      <c r="M42" s="26">
        <f>'input-output'!G12</f>
        <v>26</v>
      </c>
      <c r="N42" s="26">
        <f>'input-output'!H12</f>
        <v>29</v>
      </c>
      <c r="O42" s="11">
        <f t="shared" si="2"/>
        <v>27.1</v>
      </c>
      <c r="P42" s="27">
        <f t="shared" si="3"/>
        <v>58.201586000000006</v>
      </c>
      <c r="Q42" s="27">
        <f t="shared" si="4"/>
        <v>54.243878152000008</v>
      </c>
      <c r="R42" s="11">
        <f t="shared" si="5"/>
        <v>26.5</v>
      </c>
      <c r="S42" s="11">
        <f t="shared" si="6"/>
        <v>12.2</v>
      </c>
      <c r="T42" s="11">
        <f t="shared" si="7"/>
        <v>0.99597999999999998</v>
      </c>
      <c r="U42" s="11">
        <f t="shared" si="8"/>
        <v>8.1799999999999998E-3</v>
      </c>
      <c r="V42" s="12">
        <f t="shared" si="9"/>
        <v>8.5800000000000008E-3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70"/>
      <c r="L43" s="26">
        <f>'input-output'!F13</f>
        <v>60</v>
      </c>
      <c r="M43" s="26">
        <f>'input-output'!G13</f>
        <v>22</v>
      </c>
      <c r="N43" s="26">
        <f>'input-output'!H13</f>
        <v>29</v>
      </c>
      <c r="O43" s="11">
        <f t="shared" si="2"/>
        <v>23.1</v>
      </c>
      <c r="P43" s="27">
        <f t="shared" si="3"/>
        <v>49.610946000000006</v>
      </c>
      <c r="Q43" s="27">
        <f t="shared" si="4"/>
        <v>46.237401672000004</v>
      </c>
      <c r="R43" s="11">
        <f t="shared" si="5"/>
        <v>22.5</v>
      </c>
      <c r="S43" s="11">
        <f t="shared" si="6"/>
        <v>12.9</v>
      </c>
      <c r="T43" s="11">
        <f t="shared" si="7"/>
        <v>0.99597999999999998</v>
      </c>
      <c r="U43" s="11">
        <f t="shared" si="8"/>
        <v>8.1799999999999998E-3</v>
      </c>
      <c r="V43" s="12">
        <f t="shared" si="9"/>
        <v>6.2399999999999999E-3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70"/>
      <c r="L44" s="26">
        <f>'input-output'!F14</f>
        <v>120</v>
      </c>
      <c r="M44" s="26">
        <f>'input-output'!G14</f>
        <v>19</v>
      </c>
      <c r="N44" s="26">
        <f>'input-output'!H14</f>
        <v>29</v>
      </c>
      <c r="O44" s="11">
        <f t="shared" si="2"/>
        <v>20.100000000000001</v>
      </c>
      <c r="P44" s="27">
        <f t="shared" si="3"/>
        <v>43.167966000000007</v>
      </c>
      <c r="Q44" s="27">
        <f t="shared" si="4"/>
        <v>40.232544312000009</v>
      </c>
      <c r="R44" s="11">
        <f t="shared" si="5"/>
        <v>19.5</v>
      </c>
      <c r="S44" s="11">
        <f t="shared" si="6"/>
        <v>13.4</v>
      </c>
      <c r="T44" s="11">
        <f t="shared" si="7"/>
        <v>0.99597999999999998</v>
      </c>
      <c r="U44" s="11">
        <f t="shared" si="8"/>
        <v>8.1799999999999998E-3</v>
      </c>
      <c r="V44" s="12">
        <f t="shared" si="9"/>
        <v>4.4900000000000001E-3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70"/>
      <c r="L45" s="26">
        <f>'input-output'!F15</f>
        <v>240</v>
      </c>
      <c r="M45" s="26">
        <f>'input-output'!G15</f>
        <v>16.5</v>
      </c>
      <c r="N45" s="26">
        <f>'input-output'!H15</f>
        <v>29</v>
      </c>
      <c r="O45" s="11">
        <f t="shared" si="2"/>
        <v>17.600000000000001</v>
      </c>
      <c r="P45" s="27">
        <f t="shared" si="3"/>
        <v>37.798816000000009</v>
      </c>
      <c r="Q45" s="27">
        <f t="shared" si="4"/>
        <v>35.228496512000014</v>
      </c>
      <c r="R45" s="11">
        <f t="shared" si="5"/>
        <v>17</v>
      </c>
      <c r="S45" s="11">
        <f t="shared" si="6"/>
        <v>13.8</v>
      </c>
      <c r="T45" s="11">
        <f t="shared" si="7"/>
        <v>0.99597999999999998</v>
      </c>
      <c r="U45" s="11">
        <f t="shared" si="8"/>
        <v>8.1799999999999998E-3</v>
      </c>
      <c r="V45" s="12">
        <f t="shared" si="9"/>
        <v>3.2299999999999998E-3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70"/>
      <c r="L46" s="26">
        <f>'input-output'!F16</f>
        <v>480</v>
      </c>
      <c r="M46" s="26">
        <f>'input-output'!G17</f>
        <v>10.5</v>
      </c>
      <c r="N46" s="26">
        <f>'input-output'!H16</f>
        <v>29</v>
      </c>
      <c r="O46" s="11">
        <f t="shared" si="2"/>
        <v>11.6</v>
      </c>
      <c r="P46" s="27">
        <f t="shared" si="3"/>
        <v>24.912856000000001</v>
      </c>
      <c r="Q46" s="27">
        <f t="shared" si="4"/>
        <v>23.218781792000005</v>
      </c>
      <c r="R46" s="11">
        <f t="shared" si="5"/>
        <v>11</v>
      </c>
      <c r="S46" s="11">
        <f t="shared" si="6"/>
        <v>14.8</v>
      </c>
      <c r="T46" s="11">
        <f t="shared" si="7"/>
        <v>0.99597999999999998</v>
      </c>
      <c r="U46" s="11">
        <f t="shared" si="8"/>
        <v>8.1799999999999998E-3</v>
      </c>
      <c r="V46" s="12">
        <f t="shared" si="9"/>
        <v>2.3600000000000001E-3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70"/>
      <c r="L47" s="26">
        <f>'input-output'!F17</f>
        <v>1455</v>
      </c>
      <c r="M47" s="26">
        <f>'input-output'!G18</f>
        <v>9</v>
      </c>
      <c r="N47" s="26">
        <f>'input-output'!H17</f>
        <v>29</v>
      </c>
      <c r="O47" s="11">
        <f t="shared" si="2"/>
        <v>10.1</v>
      </c>
      <c r="P47" s="27">
        <f t="shared" si="3"/>
        <v>21.691366000000002</v>
      </c>
      <c r="Q47" s="27">
        <f t="shared" si="4"/>
        <v>20.216353112</v>
      </c>
      <c r="R47" s="11">
        <f t="shared" si="5"/>
        <v>9.5</v>
      </c>
      <c r="S47" s="11">
        <f t="shared" si="6"/>
        <v>15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1.3699999999999999E-3</v>
      </c>
      <c r="W47" s="108">
        <f>24*60</f>
        <v>1440</v>
      </c>
      <c r="X47" s="272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70"/>
      <c r="L48" s="26">
        <f>'input-output'!F18</f>
        <v>2868</v>
      </c>
      <c r="M48" s="26">
        <f>'input-output'!G19</f>
        <v>7</v>
      </c>
      <c r="N48" s="26">
        <f>'input-output'!H18</f>
        <v>29</v>
      </c>
      <c r="O48" s="11">
        <f t="shared" si="2"/>
        <v>8.1</v>
      </c>
      <c r="P48" s="27">
        <f t="shared" si="3"/>
        <v>17.396046000000002</v>
      </c>
      <c r="Q48" s="27">
        <f t="shared" si="4"/>
        <v>16.213114872000002</v>
      </c>
      <c r="R48" s="11">
        <f t="shared" si="5"/>
        <v>7.5</v>
      </c>
      <c r="S48" s="11">
        <f t="shared" si="6"/>
        <v>15.4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9.8999999999999999E-4</v>
      </c>
      <c r="W48" s="109">
        <v>2880</v>
      </c>
      <c r="X48" s="273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71"/>
      <c r="L49" s="26">
        <f>'input-output'!F19</f>
        <v>4304</v>
      </c>
      <c r="M49" s="26" t="e">
        <f>'input-output'!#REF!</f>
        <v>#REF!</v>
      </c>
      <c r="N49" s="26">
        <f>'input-output'!H19</f>
        <v>30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0.99568000000000001</v>
      </c>
      <c r="U49" s="11">
        <f t="shared" si="8"/>
        <v>8.0099999999999998E-3</v>
      </c>
      <c r="V49" s="107" t="e">
        <f t="shared" si="9"/>
        <v>#REF!</v>
      </c>
      <c r="W49" s="110">
        <v>4320</v>
      </c>
      <c r="X49" s="274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1.0738300000000001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394.4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30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365.8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49.2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0.99568000000000001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2.38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75" t="s">
        <v>114</v>
      </c>
      <c r="C75" s="276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77"/>
      <c r="C76" s="278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99.2</v>
      </c>
    </row>
    <row r="83" spans="2:30" x14ac:dyDescent="0.25">
      <c r="B83" s="127">
        <f t="shared" si="11"/>
        <v>0.3</v>
      </c>
      <c r="C83" s="129">
        <f t="shared" si="12"/>
        <v>97.5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94.9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93.2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5.7070000000000003E-2</v>
      </c>
      <c r="C86" s="131">
        <f>Q36</f>
        <v>94.276260551999997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4.1680000000000002E-2</v>
      </c>
      <c r="C87" s="131">
        <f t="shared" ref="C87:C99" si="14">Q37</f>
        <v>86.269784072000007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3.023E-2</v>
      </c>
      <c r="C88" s="131">
        <f t="shared" si="14"/>
        <v>80.264926712000005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2.179E-2</v>
      </c>
      <c r="C89" s="131">
        <f t="shared" si="14"/>
        <v>75.260878911999995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1.5990000000000001E-2</v>
      </c>
      <c r="C90" s="131">
        <f t="shared" si="14"/>
        <v>66.253592872000013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1.193E-2</v>
      </c>
      <c r="C91" s="131">
        <f t="shared" si="14"/>
        <v>59.247925952000017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8.5800000000000008E-3</v>
      </c>
      <c r="C92" s="131">
        <f t="shared" si="14"/>
        <v>54.243878152000008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6.2399999999999999E-3</v>
      </c>
      <c r="C93" s="131">
        <f t="shared" si="14"/>
        <v>46.237401672000004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4.4900000000000001E-3</v>
      </c>
      <c r="C94" s="131">
        <f t="shared" si="14"/>
        <v>40.232544312000009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3.2299999999999998E-3</v>
      </c>
      <c r="C95" s="131">
        <f t="shared" si="14"/>
        <v>35.228496512000014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2.3600000000000001E-3</v>
      </c>
      <c r="C96" s="131">
        <f t="shared" si="14"/>
        <v>23.218781792000005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1.3699999999999999E-3</v>
      </c>
      <c r="C97" s="131">
        <f t="shared" si="14"/>
        <v>20.216353112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9.8999999999999999E-4</v>
      </c>
      <c r="C98" s="131">
        <f t="shared" si="14"/>
        <v>16.213114872000002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B8:E8"/>
    <mergeCell ref="B10:E10"/>
    <mergeCell ref="K35:K49"/>
    <mergeCell ref="X47:X49"/>
    <mergeCell ref="B75:C76"/>
    <mergeCell ref="F8:F11"/>
    <mergeCell ref="G13:I14"/>
    <mergeCell ref="G8:I11"/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1" t="s">
        <v>126</v>
      </c>
      <c r="E3" s="282"/>
      <c r="F3" s="281" t="s">
        <v>127</v>
      </c>
      <c r="G3" s="282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98.35425057889961</v>
      </c>
      <c r="J5" s="154">
        <f t="shared" ref="J5:J9" si="1">ROUND(H5-I5,2)</f>
        <v>1.65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99.2</v>
      </c>
      <c r="G6" s="114">
        <f>INDEX(main!$B$79:$C$99,MATCH(B6,main!$B$79:$B$99,-1)+1,2)</f>
        <v>97.5</v>
      </c>
      <c r="H6" s="114" cm="1">
        <f t="array" ref="H6">TREND(F6:G6,LOG10(D6:E6),LOG10(B6),TRUE)</f>
        <v>98.35425057889961</v>
      </c>
      <c r="I6" s="114">
        <f t="shared" si="0"/>
        <v>93.199999999999989</v>
      </c>
      <c r="J6" s="154">
        <f t="shared" si="1"/>
        <v>5.15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5.7070000000000003E-2</v>
      </c>
      <c r="F7" s="114">
        <f>INDEX(main!$B$79:$C$99,MATCH(B7,main!$B$79:$B$99,-1),2)</f>
        <v>93.2</v>
      </c>
      <c r="G7" s="114">
        <f>INDEX(main!$B$79:$C$99,MATCH(B7,main!$B$79:$B$99,-1)+1,2)</f>
        <v>94.276260551999997</v>
      </c>
      <c r="H7" s="114" cm="1">
        <f t="array" ref="H7">TREND(F7:G7,LOG10(D7:E7),LOG10(B7),TRUE)</f>
        <v>93.199999999999989</v>
      </c>
      <c r="I7" s="114">
        <f t="shared" si="0"/>
        <v>42.195412447311938</v>
      </c>
      <c r="J7" s="154">
        <f t="shared" si="1"/>
        <v>51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6.2399999999999999E-3</v>
      </c>
      <c r="E8" s="114">
        <f>INDEX(main!$B$79:$C$99,MATCH(B8,main!$B$79:$B$99,-1)+1,1)</f>
        <v>4.4900000000000001E-3</v>
      </c>
      <c r="F8" s="114">
        <f>INDEX(main!$B$79:$C$99,MATCH(B8,main!$B$79:$B$99,-1),2)</f>
        <v>46.237401672000004</v>
      </c>
      <c r="G8" s="114">
        <f>INDEX(main!$B$79:$C$99,MATCH(B8,main!$B$79:$B$99,-1)+1,2)</f>
        <v>40.232544312000009</v>
      </c>
      <c r="H8" s="114" cm="1">
        <f t="array" ref="H8">TREND(F8:G8,LOG10(D8:E8),LOG10(B8),TRUE)</f>
        <v>42.195412447311938</v>
      </c>
      <c r="I8" s="114">
        <f t="shared" si="0"/>
        <v>16.336964393607616</v>
      </c>
      <c r="J8" s="154">
        <f t="shared" si="1"/>
        <v>25.86</v>
      </c>
      <c r="K8" s="283" t="s">
        <v>138</v>
      </c>
      <c r="L8" s="164">
        <f>J9+J8</f>
        <v>42.2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1.3699999999999999E-3</v>
      </c>
      <c r="E9" s="138">
        <f>INDEX(main!$B$79:$C$99,MATCH(B9,main!$B$79:$B$99,-1)+1,1)</f>
        <v>9.8999999999999999E-4</v>
      </c>
      <c r="F9" s="138">
        <f>INDEX(main!$B$79:$C$99,MATCH(B9,main!$B$79:$B$99,-1),2)</f>
        <v>20.216353112</v>
      </c>
      <c r="G9" s="138">
        <f>INDEX(main!$B$79:$C$99,MATCH(B9,main!$B$79:$B$99,-1)+1,2)</f>
        <v>16.213114872000002</v>
      </c>
      <c r="H9" s="138" cm="1">
        <f t="array" ref="H9">TREND(F9:G9,LOG10(D9:E9),LOG10(B9),TRUE)</f>
        <v>16.336964393607616</v>
      </c>
      <c r="I9" s="138">
        <f t="shared" si="0"/>
        <v>0</v>
      </c>
      <c r="J9" s="155">
        <f t="shared" si="1"/>
        <v>16.34</v>
      </c>
      <c r="K9" s="284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1" t="s">
        <v>132</v>
      </c>
      <c r="C12" s="282"/>
      <c r="D12" s="281" t="s">
        <v>121</v>
      </c>
      <c r="E12" s="282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16.213114872000002</v>
      </c>
      <c r="C13" s="141" t="e">
        <f>INDEX(main!$B$79:$C$99,MATCH(A13,main!$C$79:$C$99,-1)+1,2)</f>
        <v>#REF!</v>
      </c>
      <c r="D13" s="141">
        <f>INDEX(main!$B$79:$C$99,MATCH(A13,main!$C$79:$C$99,-1),1)</f>
        <v>9.8999999999999999E-4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35.228496512000014</v>
      </c>
      <c r="C14" s="141">
        <f>INDEX(main!$B$79:$C$99,MATCH(A14,main!$C$79:$C$99,-1)+1,2)</f>
        <v>23.218781792000005</v>
      </c>
      <c r="D14" s="141">
        <f>INDEX(main!$B$79:$C$99,MATCH(A14,main!$C$79:$C$99,-1),1)</f>
        <v>3.2299999999999998E-3</v>
      </c>
      <c r="E14" s="141">
        <f>INDEX(main!$B$79:$C$99,MATCH(A14,main!$C$79:$C$99,-1)+1,1)</f>
        <v>2.3600000000000001E-3</v>
      </c>
      <c r="F14" s="175" cm="1">
        <f t="array" ref="F14">IF(ISERROR(E14)=FALSE,ROUND(10^TREND(LOG10(D14:E14),B14:C14,A14),3),"---")</f>
        <v>3.0000000000000001E-3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66.253592872000013</v>
      </c>
      <c r="C15" s="141">
        <f>INDEX(main!$B$79:$C$99,MATCH(A15,main!$C$79:$C$99,-1)+1,2)</f>
        <v>59.247925952000017</v>
      </c>
      <c r="D15" s="141">
        <f>INDEX(main!$B$79:$C$99,MATCH(A15,main!$C$79:$C$99,-1),1)</f>
        <v>1.5990000000000001E-2</v>
      </c>
      <c r="E15" s="141">
        <f>INDEX(main!$B$79:$C$99,MATCH(A15,main!$C$79:$C$99,-1)+1,1)</f>
        <v>1.193E-2</v>
      </c>
      <c r="F15" s="175" cm="1">
        <f t="array" ref="F15">IF(ISERROR(E15)=FALSE,ROUND(10^TREND(LOG10(D15:E15),B15:C15,A15),3),"---")</f>
        <v>1.2E-2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54.243878152000008</v>
      </c>
      <c r="C16" s="178">
        <f>INDEX(main!$B$79:$C$99,MATCH(A16,main!$C$79:$C$99,-1)+1,2)</f>
        <v>46.237401672000004</v>
      </c>
      <c r="D16" s="178">
        <f>INDEX(main!$B$79:$C$99,MATCH(A16,main!$C$79:$C$99,-1),1)</f>
        <v>8.5800000000000008E-3</v>
      </c>
      <c r="E16" s="178">
        <f>INDEX(main!$B$79:$C$99,MATCH(A16,main!$C$79:$C$99,-1)+1,1)</f>
        <v>6.2399999999999999E-3</v>
      </c>
      <c r="F16" s="179" cm="1">
        <f t="array" ref="F16">IF(ISERROR(E16)=FALSE,ROUND(10^TREND(LOG10(D16:E16),B16:C16,A16),3),"---")</f>
        <v>7.0000000000000001E-3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49" zoomScaleNormal="100" zoomScaleSheetLayoutView="100" workbookViewId="0">
      <selection activeCell="D67" sqref="D67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56" t="s">
        <v>45</v>
      </c>
      <c r="G8" s="286" t="str">
        <f>main!G8</f>
        <v>NE-003 (28+5B) MULTISTORIED COMMERCIAL BUILDING</v>
      </c>
      <c r="H8" s="286"/>
      <c r="I8" s="286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56"/>
      <c r="G9" s="286"/>
      <c r="H9" s="286"/>
      <c r="I9" s="286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56"/>
      <c r="G10" s="286"/>
      <c r="H10" s="286"/>
      <c r="I10" s="286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56"/>
      <c r="G11" s="286"/>
      <c r="H11" s="286"/>
      <c r="I11" s="286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87" t="s">
        <v>100</v>
      </c>
      <c r="G13" s="286" t="str">
        <f>main!G13</f>
        <v>ASTM D422, D854, D1140, D6913, D7928</v>
      </c>
      <c r="H13" s="286"/>
      <c r="I13" s="286"/>
    </row>
    <row r="14" spans="1:9" x14ac:dyDescent="0.25">
      <c r="A14" s="98" t="s">
        <v>102</v>
      </c>
      <c r="B14" s="89"/>
      <c r="C14" s="106"/>
      <c r="D14" s="288" t="str">
        <f>main!D14</f>
        <v>Red Silty Clay</v>
      </c>
      <c r="E14" s="288"/>
      <c r="F14" s="287"/>
      <c r="G14" s="286"/>
      <c r="H14" s="286"/>
      <c r="I14" s="286"/>
    </row>
    <row r="15" spans="1:9" ht="15.5" x14ac:dyDescent="0.35">
      <c r="B15" s="81"/>
      <c r="C15" s="23"/>
      <c r="D15" s="288"/>
      <c r="E15" s="288"/>
      <c r="G15" s="1"/>
    </row>
    <row r="16" spans="1:9" ht="17.25" customHeight="1" x14ac:dyDescent="0.25">
      <c r="A16" s="285" t="s">
        <v>95</v>
      </c>
      <c r="B16" s="285"/>
      <c r="C16" s="285"/>
      <c r="D16" s="285"/>
      <c r="E16" s="285"/>
      <c r="F16" s="285"/>
      <c r="G16" s="285"/>
      <c r="H16" s="285"/>
      <c r="I16" s="285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1.65</v>
      </c>
      <c r="D38" s="143" t="s">
        <v>125</v>
      </c>
      <c r="E38" s="143" t="s">
        <v>136</v>
      </c>
      <c r="F38" s="145">
        <f>'Some Calculations'!F14</f>
        <v>3.0000000000000001E-3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5.15</v>
      </c>
      <c r="D39" s="143" t="s">
        <v>125</v>
      </c>
      <c r="E39" s="143" t="s">
        <v>137</v>
      </c>
      <c r="F39" s="145">
        <f>'Some Calculations'!F15</f>
        <v>1.2E-2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51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42.2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7.0000000000000001E-3</v>
      </c>
      <c r="D42" s="182" t="s">
        <v>8</v>
      </c>
      <c r="E42" s="143" t="s">
        <v>151</v>
      </c>
      <c r="F42" s="143"/>
      <c r="G42" s="144"/>
      <c r="H42" s="143">
        <f>main!GS</f>
        <v>2.38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input-output</vt:lpstr>
      <vt:lpstr>output-table</vt:lpstr>
      <vt:lpstr>Sheet1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2022-03-08T04:12:33Z</dcterms:modified>
</cp:coreProperties>
</file>