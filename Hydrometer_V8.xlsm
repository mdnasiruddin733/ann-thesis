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7E77BFEA-6321-4FAF-8D05-6F49BF02F9B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33" l="1"/>
  <c r="H28" i="33" l="1"/>
  <c r="N27" i="33"/>
  <c r="E28" i="33"/>
  <c r="E29" i="33"/>
  <c r="D28" i="33"/>
  <c r="G28" i="33"/>
  <c r="E30" i="33" l="1"/>
  <c r="F28" i="33" l="1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3" i="34"/>
  <c r="J4" i="34" s="1"/>
  <c r="J5" i="34" s="1"/>
  <c r="J6" i="34" s="1"/>
  <c r="J7" i="34" s="1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D16" i="33"/>
  <c r="D17" i="33"/>
  <c r="D18" i="33"/>
  <c r="D19" i="33"/>
  <c r="E16" i="33"/>
  <c r="O28" i="33"/>
  <c r="N28" i="33"/>
  <c r="M28" i="33"/>
  <c r="O27" i="33"/>
  <c r="H29" i="33"/>
  <c r="G29" i="33"/>
  <c r="F29" i="33"/>
  <c r="D29" i="33"/>
  <c r="E19" i="33" l="1"/>
  <c r="E18" i="33"/>
  <c r="E17" i="33"/>
  <c r="D30" i="33"/>
  <c r="O29" i="33"/>
  <c r="F30" i="33"/>
  <c r="H30" i="33"/>
  <c r="M29" i="33"/>
  <c r="G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<sst xmlns="http://schemas.openxmlformats.org/spreadsheetml/2006/main" count="500" uniqueCount="230">
  <si>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</si>
  <si>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</si>
  <si>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</si>
  <si>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</si>
  <si>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</si>
  <si>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</si>
  <si>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</si>
  <si>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</si>
  <si>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</si>
  <si>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</si>
  <si>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</si>
  <si>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</si>
  <si>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</si>
  <si>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</si>
  <si>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</si>
  <si>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</si>
  <si>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</si>
  <si>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</si>
  <si>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</si>
  <si>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</si>
  <si>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</si>
  <si>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</si>
  <si>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</si>
  <si>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</si>
  <si>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</si>
  <si>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</si>
  <si>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</si>
  <si>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</si>
  <si>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</si>
  <si>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</si>
  <si>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</si>
  <si>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</si>
  <si>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</si>
  <si>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</si>
  <si>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</si>
  <si>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</si>
  <si>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</si>
  <si>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</si>
  <si>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</si>
  <si>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</si>
  <si>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</si>
  <si>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</si>
  <si>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</si>
  <si>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</si>
  <si>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</si>
  <si>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</si>
  <si>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</si>
  <si>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</si>
  <si>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</si>
  <si>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</si>
  <si>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</si>
  <si>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</si>
  <si>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</si>
  <si>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</si>
  <si>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</si>
  <si>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</si>
  <si>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</si>
  <si>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</si>
  <si>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</si>
  <si>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</si>
  <si>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</si>
  <si>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</si>
  <si>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</si>
  <si>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</si>
  <si>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</si>
  <si>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</si>
  <si>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</si>
  <si>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</si>
  <si>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</si>
  <si>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</si>
  <si>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</si>
  <si>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</si>
  <si>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</si>
  <si>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</si>
  <si>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</si>
  <si>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</si>
  <si>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</si>
  <si>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</si>
  <si>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</si>
  <si>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</si>
  <si>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</si>
  <si>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</si>
  <si>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</si>
  <si>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</si>
  <si>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</si>
  <si>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</si>
  <si>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</si>
  <si>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</si>
  <si>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</si>
  <si>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</si>
  <si>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</si>
  <si>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</si>
  <si>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</si>
  <si>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</si>
  <si>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</si>
  <si>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</si>
  <si>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</si>
  <si>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</si>
  <si>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</si>
  <si>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</si>
  <si>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</si>
  <si>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</si>
  <si>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</si>
  <si>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</si>
  <si>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</si>
  <si>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</si>
  <si>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</si>
  <si>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</si>
  <si>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</si>
  <si>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</si>
  <si>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</si>
  <si>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</si>
  <si>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</si>
  <si>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</si>
  <si>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</si>
  <si>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</si>
  <si>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</si>
  <si>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</si>
  <si>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</si>
  <si>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</si>
  <si>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</si>
  <si>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</si>
  <si>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</si>
  <si>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</si>
  <si>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</si>
  <si>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</si>
  <si>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</si>
  <si>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</si>
  <si>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</si>
  <si>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</si>
  <si>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</si>
  <si>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</si>
  <si>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</si>
  <si>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</si>
  <si>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</si>
  <si>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</si>
  <si>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</si>
  <si>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</si>
  <si>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</si>
  <si>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</si>
  <si>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</si>
  <si>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</si>
  <si>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</si>
  <si>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</si>
  <si>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</si>
  <si>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</si>
  <si>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</si>
  <si>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</si>
  <si>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</si>
  <si>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</si>
  <si>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</si>
  <si>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</si>
  <si>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</si>
  <si>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</si>
  <si>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</si>
  <si>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</si>
  <si>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</si>
  <si>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</si>
  <si>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</si>
  <si>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</si>
  <si>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</si>
  <si>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</si>
  <si>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</si>
  <si>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</si>
  <si>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</si>
  <si>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</si>
  <si>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</si>
  <si>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</si>
  <si>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</si>
  <si>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</si>
  <si>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</si>
  <si>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</si>
  <si>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</si>
  <si>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</si>
  <si>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</si>
  <si>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</si>
  <si>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</si>
  <si>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</si>
  <si>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</si>
  <si>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</si>
  <si>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</si>
  <si>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</si>
  <si>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</si>
  <si>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</si>
  <si>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</si>
  <si>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</si>
  <si>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</si>
  <si>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</si>
  <si>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</si>
  <si>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</si>
  <si>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</si>
  <si>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</si>
  <si>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</si>
  <si>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</si>
  <si>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</si>
  <si>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</si>
  <si>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</si>
  <si>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status</t>
  </si>
  <si>
    <t>D-32,33</t>
  </si>
  <si>
    <t>D-20</t>
  </si>
  <si>
    <t>D-25,26</t>
  </si>
  <si>
    <t>D-29,30,31</t>
  </si>
  <si>
    <t>D-29</t>
  </si>
  <si>
    <t>D-31</t>
  </si>
  <si>
    <t>UD-2</t>
  </si>
  <si>
    <t>D-3,4,5</t>
  </si>
  <si>
    <t>D-23,24,25</t>
  </si>
  <si>
    <t>D-26,27,28</t>
  </si>
  <si>
    <t>D-1,2,3</t>
  </si>
  <si>
    <t>D-30,31,32</t>
  </si>
  <si>
    <t>D-24</t>
  </si>
  <si>
    <t>start from 120-24,25,26</t>
  </si>
  <si>
    <t>24,25,26</t>
  </si>
  <si>
    <t>D-26,27</t>
  </si>
  <si>
    <t>d-21,22</t>
  </si>
  <si>
    <t>D-27,28</t>
  </si>
  <si>
    <t>D-27,28,29</t>
  </si>
  <si>
    <t>D-33</t>
  </si>
  <si>
    <t>Data upto this row from Mithamain Project</t>
  </si>
  <si>
    <t>D-6666</t>
  </si>
  <si>
    <t>D-16,17,18</t>
  </si>
  <si>
    <t>D-2,3,4</t>
  </si>
  <si>
    <t>D-5,6,7</t>
  </si>
  <si>
    <t>D-9,10,11</t>
  </si>
  <si>
    <t>D-13,14,15</t>
  </si>
  <si>
    <t>D-15,16</t>
  </si>
  <si>
    <t>D-3,4</t>
  </si>
  <si>
    <t>D-12,13,14</t>
  </si>
  <si>
    <t>.</t>
  </si>
  <si>
    <t>D-4,5,6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</si>
</sst>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4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2" fontId="2" fillId="2" borderId="40" xfId="0" applyNumberFormat="1" applyFont="1" applyFill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5.5849999999999997E-2</c:v>
                </c:pt>
                <c:pt idx="8">
                  <c:v>4.1360000000000001E-2</c:v>
                </c:pt>
                <c:pt idx="9">
                  <c:v>3.0259999999999999E-2</c:v>
                </c:pt>
                <c:pt idx="10">
                  <c:v>2.1839999999999998E-2</c:v>
                </c:pt>
                <c:pt idx="11">
                  <c:v>1.575E-2</c:v>
                </c:pt>
                <c:pt idx="12">
                  <c:v>1.172E-2</c:v>
                </c:pt>
                <c:pt idx="13">
                  <c:v>8.4100000000000008E-3</c:v>
                </c:pt>
                <c:pt idx="14">
                  <c:v>6.0099999999999997E-3</c:v>
                </c:pt>
                <c:pt idx="15">
                  <c:v>4.3099999999999996E-3</c:v>
                </c:pt>
                <c:pt idx="16">
                  <c:v>3.0899999999999999E-3</c:v>
                </c:pt>
                <c:pt idx="17">
                  <c:v>2.2100000000000002E-3</c:v>
                </c:pt>
                <c:pt idx="18">
                  <c:v>1.2999999999999999E-3</c:v>
                </c:pt>
                <c:pt idx="19">
                  <c:v>9.2000000000000003E-4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98.8</c:v>
                </c:pt>
                <c:pt idx="5">
                  <c:v>92</c:v>
                </c:pt>
                <c:pt idx="6" formatCode="0.00">
                  <c:v>79.3</c:v>
                </c:pt>
                <c:pt idx="7" formatCode="0.00">
                  <c:v>62.012599999999999</c:v>
                </c:pt>
                <c:pt idx="8" formatCode="0.00">
                  <c:v>52.496600000000001</c:v>
                </c:pt>
                <c:pt idx="9" formatCode="0.00">
                  <c:v>44.566600000000001</c:v>
                </c:pt>
                <c:pt idx="10" formatCode="0.00">
                  <c:v>39.015599999999999</c:v>
                </c:pt>
                <c:pt idx="11" formatCode="0.00">
                  <c:v>34.257600000000004</c:v>
                </c:pt>
                <c:pt idx="12" formatCode="0.00">
                  <c:v>29.499600000000001</c:v>
                </c:pt>
                <c:pt idx="13" formatCode="0.00">
                  <c:v>25.534600000000001</c:v>
                </c:pt>
                <c:pt idx="14" formatCode="0.00">
                  <c:v>23.1556</c:v>
                </c:pt>
                <c:pt idx="15" formatCode="0.00">
                  <c:v>19.1906</c:v>
                </c:pt>
                <c:pt idx="16" formatCode="0.00">
                  <c:v>15.2256</c:v>
                </c:pt>
                <c:pt idx="17" formatCode="0.00">
                  <c:v>11.2606</c:v>
                </c:pt>
                <c:pt idx="18" formatCode="0.00">
                  <c:v>9.6745999999999999</c:v>
                </c:pt>
                <c:pt idx="19" formatCode="0.00">
                  <c:v>8.0885999999999996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saveCo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8356600" y="6515100"/>
          <a:ext cx="2095500" cy="330200"/>
        </a:xfrm>
        <a:prstGeom prst="roundRect">
          <a:avLst>
            <a:gd name="adj" fmla="val 50000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31</v>
          </cell>
        </row>
        <row r="45">
          <cell r="I45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abSelected="1" topLeftCell="B19" workbookViewId="0">
      <selection activeCell="J36" sqref="J36:P36"/>
    </sheetView>
  </sheetViews>
  <sheetFormatPr defaultRowHeight="12.5" x14ac:dyDescent="0.25"/>
  <cols>
    <col min="2" max="2" width="11.26953125" customWidth="1"/>
    <col min="3" max="3" width="15.453125" customWidth="1"/>
    <col min="4" max="4" width="16.54296875" customWidth="1"/>
    <col min="9" max="9" width="18.1796875" customWidth="1"/>
    <col min="10" max="11" width="8.7265625" customWidth="1"/>
    <col min="15" max="15" width="9.26953125" customWidth="1"/>
    <col min="16" max="16" width="12.81640625" customWidth="1"/>
  </cols>
  <sheetData>
    <row r="1" spans="1:16" ht="13" thickBot="1" x14ac:dyDescent="0.3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" thickBot="1" x14ac:dyDescent="0.3">
      <c r="A2" s="117"/>
      <c r="B2" s="217" t="s">
        <v>178</v>
      </c>
      <c r="C2" s="186">
        <v>29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0.5" thickBot="1" x14ac:dyDescent="0.3">
      <c r="A3" s="117"/>
      <c r="B3" s="218" t="s">
        <v>179</v>
      </c>
      <c r="C3" s="248" t="s">
        <v>204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2.5</v>
      </c>
      <c r="K3" s="34"/>
      <c r="L3" s="34"/>
      <c r="M3" s="118"/>
    </row>
    <row r="4" spans="1:16" ht="14" thickBot="1" x14ac:dyDescent="0.4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5.5" thickBot="1" x14ac:dyDescent="0.3">
      <c r="A5" s="117"/>
      <c r="B5" s="192" t="s">
        <v>156</v>
      </c>
      <c r="C5" s="193" t="s">
        <v>155</v>
      </c>
      <c r="D5" s="34"/>
      <c r="F5" s="26">
        <v>0.25</v>
      </c>
      <c r="G5" s="26">
        <v>42</v>
      </c>
      <c r="H5" s="26">
        <v>29</v>
      </c>
      <c r="I5" s="34"/>
      <c r="J5" s="34"/>
      <c r="K5" s="34"/>
      <c r="L5" s="34"/>
      <c r="M5" s="118"/>
    </row>
    <row r="6" spans="1:16" ht="13" x14ac:dyDescent="0.3">
      <c r="A6" s="117"/>
      <c r="B6" s="185">
        <v>4</v>
      </c>
      <c r="C6" s="194">
        <v>0</v>
      </c>
      <c r="D6" s="34"/>
      <c r="F6" s="26">
        <v>0.5</v>
      </c>
      <c r="G6" s="26">
        <v>38</v>
      </c>
      <c r="H6" s="26">
        <v>29</v>
      </c>
      <c r="I6" s="251" t="s">
        <v>21</v>
      </c>
      <c r="J6" s="252"/>
      <c r="K6" s="252"/>
      <c r="L6" s="253"/>
      <c r="M6" s="118"/>
    </row>
    <row r="7" spans="1:16" x14ac:dyDescent="0.25">
      <c r="A7" s="117"/>
      <c r="B7" s="187">
        <v>8</v>
      </c>
      <c r="C7" s="195">
        <v>0</v>
      </c>
      <c r="D7" s="34"/>
      <c r="F7" s="26">
        <v>1</v>
      </c>
      <c r="G7" s="26">
        <v>32</v>
      </c>
      <c r="H7" s="26">
        <v>29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ht="13.5" x14ac:dyDescent="0.35">
      <c r="A8" s="117"/>
      <c r="B8" s="187">
        <v>16</v>
      </c>
      <c r="C8" s="195">
        <v>0</v>
      </c>
      <c r="D8" s="34"/>
      <c r="F8" s="26">
        <v>2</v>
      </c>
      <c r="G8" s="26">
        <v>27</v>
      </c>
      <c r="H8" s="26">
        <v>29</v>
      </c>
      <c r="I8" s="119" t="s">
        <v>22</v>
      </c>
      <c r="J8" s="34"/>
      <c r="K8" s="34"/>
      <c r="L8" s="120">
        <v>373</v>
      </c>
      <c r="M8" s="118"/>
      <c r="N8" s="225"/>
      <c r="O8" s="231"/>
      <c r="P8" s="225"/>
    </row>
    <row r="9" spans="1:16" x14ac:dyDescent="0.25">
      <c r="A9" s="117"/>
      <c r="B9" s="187">
        <v>30</v>
      </c>
      <c r="C9" s="195">
        <v>0</v>
      </c>
      <c r="D9" s="34"/>
      <c r="F9" s="26">
        <v>4</v>
      </c>
      <c r="G9" s="26">
        <v>23.5</v>
      </c>
      <c r="H9" s="26">
        <v>29</v>
      </c>
      <c r="I9" s="119" t="s">
        <v>23</v>
      </c>
      <c r="J9" s="34"/>
      <c r="K9" s="34"/>
      <c r="L9" s="120">
        <v>31</v>
      </c>
      <c r="M9" s="118"/>
      <c r="N9" s="225"/>
      <c r="O9" s="223"/>
    </row>
    <row r="10" spans="1:16" ht="13.5" x14ac:dyDescent="0.35">
      <c r="A10" s="117"/>
      <c r="B10" s="187">
        <v>50</v>
      </c>
      <c r="C10" s="195">
        <v>1.2</v>
      </c>
      <c r="D10" s="34"/>
      <c r="F10" s="26">
        <v>8</v>
      </c>
      <c r="G10" s="26">
        <v>20.5</v>
      </c>
      <c r="H10" s="26">
        <v>29</v>
      </c>
      <c r="I10" s="119" t="s">
        <v>24</v>
      </c>
      <c r="J10" s="34"/>
      <c r="K10" s="34"/>
      <c r="L10" s="120">
        <v>341.9</v>
      </c>
      <c r="M10" s="118"/>
      <c r="N10" s="225"/>
      <c r="O10" s="230"/>
    </row>
    <row r="11" spans="1:16" ht="13.5" x14ac:dyDescent="0.35">
      <c r="A11" s="117"/>
      <c r="B11" s="187">
        <v>100</v>
      </c>
      <c r="C11" s="195">
        <v>6.8</v>
      </c>
      <c r="D11" s="34"/>
      <c r="F11" s="26">
        <v>15</v>
      </c>
      <c r="G11" s="26">
        <v>17.5</v>
      </c>
      <c r="H11" s="26">
        <v>29</v>
      </c>
      <c r="I11" s="119" t="s">
        <v>25</v>
      </c>
      <c r="J11" s="34"/>
      <c r="K11" s="34"/>
      <c r="L11" s="120">
        <v>49.8</v>
      </c>
      <c r="M11" s="118"/>
      <c r="N11" s="225"/>
      <c r="O11" s="230"/>
      <c r="P11" s="227"/>
    </row>
    <row r="12" spans="1:16" x14ac:dyDescent="0.25">
      <c r="A12" s="117"/>
      <c r="B12" s="187">
        <v>200</v>
      </c>
      <c r="C12" s="195">
        <v>12.7</v>
      </c>
      <c r="D12" s="34"/>
      <c r="F12" s="26">
        <v>30</v>
      </c>
      <c r="G12" s="26">
        <v>15</v>
      </c>
      <c r="H12" s="26">
        <v>29</v>
      </c>
      <c r="I12" s="121" t="s">
        <v>26</v>
      </c>
      <c r="J12" s="34"/>
      <c r="K12" s="34"/>
      <c r="L12" s="118">
        <f>ROUND(-0.000005006464124*L9^2-0.00000484550743*L9+1.00033065352292,5)</f>
        <v>0.99536999999999998</v>
      </c>
      <c r="M12" s="118"/>
      <c r="N12" s="225"/>
      <c r="P12" s="224"/>
    </row>
    <row r="13" spans="1:16" ht="13" thickBot="1" x14ac:dyDescent="0.3">
      <c r="A13" s="117"/>
      <c r="B13" s="188" t="s">
        <v>157</v>
      </c>
      <c r="C13" s="250">
        <v>79.3</v>
      </c>
      <c r="D13" s="34"/>
      <c r="F13" s="26">
        <v>60</v>
      </c>
      <c r="G13" s="26">
        <v>13.5</v>
      </c>
      <c r="H13" s="26">
        <v>29</v>
      </c>
      <c r="I13" s="122" t="s">
        <v>27</v>
      </c>
      <c r="J13" s="123"/>
      <c r="K13" s="123"/>
      <c r="L13" s="124">
        <f>MROUND((L12*L11)/(L11-L8+L10),0.01)</f>
        <v>2.65</v>
      </c>
      <c r="M13" s="118"/>
      <c r="P13" s="222"/>
    </row>
    <row r="14" spans="1:16" x14ac:dyDescent="0.25">
      <c r="A14" s="117"/>
      <c r="D14" s="34"/>
      <c r="F14" s="26">
        <v>120</v>
      </c>
      <c r="G14" s="26">
        <v>11</v>
      </c>
      <c r="H14" s="26">
        <v>29</v>
      </c>
      <c r="I14" s="34"/>
      <c r="J14" s="34"/>
      <c r="K14" s="34"/>
      <c r="L14" s="34"/>
      <c r="M14" s="118"/>
      <c r="P14" s="223"/>
    </row>
    <row r="15" spans="1:16" x14ac:dyDescent="0.25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8.5</v>
      </c>
      <c r="H15" s="26">
        <v>29</v>
      </c>
      <c r="I15" s="34"/>
      <c r="J15" s="34"/>
      <c r="K15" s="34"/>
      <c r="L15" s="34"/>
      <c r="M15" s="118"/>
      <c r="O15" s="232"/>
      <c r="P15" s="229"/>
    </row>
    <row r="16" spans="1:16" x14ac:dyDescent="0.25">
      <c r="A16" s="117"/>
      <c r="B16" s="236">
        <v>36892</v>
      </c>
      <c r="C16" s="237">
        <v>0.23333333333333331</v>
      </c>
      <c r="D16" s="238" t="str">
        <f>CONCATENATE(TEXT(B16,"mm/dd/yy"),TEXT(C16," hh:mm"), " PM")</f>
        <v>01/01/01 05:36 PM</v>
      </c>
      <c r="E16" s="241">
        <f>F16</f>
        <v>480</v>
      </c>
      <c r="F16" s="233">
        <v>480</v>
      </c>
      <c r="G16" s="244">
        <v>7.5</v>
      </c>
      <c r="H16" s="26">
        <v>29</v>
      </c>
      <c r="I16" s="34"/>
      <c r="J16" s="34"/>
      <c r="K16" s="34"/>
      <c r="L16" s="34"/>
      <c r="M16" s="118"/>
      <c r="P16" s="228"/>
    </row>
    <row r="17" spans="1:16" x14ac:dyDescent="0.25">
      <c r="A17" s="117"/>
      <c r="B17" s="236">
        <v>36893</v>
      </c>
      <c r="C17" s="237">
        <v>0.37361111111111112</v>
      </c>
      <c r="D17" s="238" t="str">
        <f>CONCATENATE(TEXT(B17,"mm/dd/yy"),TEXT(C17," hh:mm"), " AM")</f>
        <v>01/02/01 08:58 AM</v>
      </c>
      <c r="E17" s="239">
        <f>D17-D16</f>
        <v>0.64027777778392192</v>
      </c>
      <c r="F17" s="234">
        <v>1402</v>
      </c>
      <c r="G17" s="26">
        <v>6</v>
      </c>
      <c r="H17" s="26">
        <v>29</v>
      </c>
      <c r="I17" s="242"/>
      <c r="J17" s="240"/>
      <c r="K17" s="34"/>
      <c r="L17" s="34"/>
      <c r="M17" s="118"/>
      <c r="P17" s="223"/>
    </row>
    <row r="18" spans="1:16" x14ac:dyDescent="0.25">
      <c r="A18" s="117"/>
      <c r="B18" s="236">
        <v>36894</v>
      </c>
      <c r="C18" s="237">
        <v>0.3756944444444445</v>
      </c>
      <c r="D18" s="238" t="str">
        <f>CONCATENATE(TEXT(B18,"mm/dd/yy"),TEXT(C18," hh:mm"), " AM")</f>
        <v>01/03/01 09:01 AM</v>
      </c>
      <c r="E18" s="239">
        <f t="shared" ref="E18:E19" si="0">D18-D17</f>
        <v>1.0020833333328483</v>
      </c>
      <c r="F18" s="233">
        <v>2845</v>
      </c>
      <c r="G18" s="26">
        <v>5</v>
      </c>
      <c r="H18" s="26">
        <v>29</v>
      </c>
      <c r="I18" s="34"/>
      <c r="J18" s="240"/>
      <c r="K18" s="34"/>
      <c r="L18" s="34"/>
      <c r="M18" s="118"/>
      <c r="P18" s="226"/>
    </row>
    <row r="19" spans="1:16" x14ac:dyDescent="0.25">
      <c r="A19" s="117"/>
      <c r="B19" s="236">
        <v>36895</v>
      </c>
      <c r="C19" s="237">
        <v>0.40208333333333335</v>
      </c>
      <c r="D19" s="238" t="str">
        <f>CONCATENATE(TEXT(B19,"mm/dd/yy"),TEXT(C19," hh:mm"), " AM")</f>
        <v>01/04/01 09:39 AM</v>
      </c>
      <c r="E19" s="239">
        <f t="shared" si="0"/>
        <v>1.0263888888875954</v>
      </c>
      <c r="F19" s="233">
        <v>4323</v>
      </c>
      <c r="G19" s="26">
        <v>4</v>
      </c>
      <c r="H19" s="26">
        <v>30</v>
      </c>
      <c r="I19" s="34"/>
      <c r="J19" s="240"/>
      <c r="K19" s="34"/>
      <c r="L19" s="34"/>
      <c r="M19" s="118"/>
      <c r="P19" s="223"/>
    </row>
    <row r="20" spans="1:16" ht="13" thickBot="1" x14ac:dyDescent="0.3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4" x14ac:dyDescent="0.3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5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5">
      <c r="B24" s="71" t="s">
        <v>162</v>
      </c>
      <c r="C24" s="37"/>
      <c r="D24" s="199">
        <v>15</v>
      </c>
      <c r="E24" s="200">
        <v>19</v>
      </c>
      <c r="F24" s="200">
        <v>24</v>
      </c>
      <c r="G24" s="200">
        <v>30</v>
      </c>
      <c r="H24" s="200">
        <v>35</v>
      </c>
      <c r="J24" s="201" t="s">
        <v>163</v>
      </c>
      <c r="K24" s="71"/>
      <c r="L24" s="197"/>
      <c r="M24" s="205">
        <v>9.42</v>
      </c>
      <c r="N24" s="205">
        <v>10.79</v>
      </c>
      <c r="O24" s="202">
        <v>9.2200000000000006</v>
      </c>
    </row>
    <row r="25" spans="1:16" x14ac:dyDescent="0.25">
      <c r="B25" s="201" t="s">
        <v>163</v>
      </c>
      <c r="C25" s="201"/>
      <c r="D25" s="202">
        <v>9.14</v>
      </c>
      <c r="E25" s="202">
        <v>9.11</v>
      </c>
      <c r="F25" s="202">
        <v>9.86</v>
      </c>
      <c r="G25" s="202">
        <v>9.2899999999999991</v>
      </c>
      <c r="H25" s="202">
        <v>9.0399999999999991</v>
      </c>
      <c r="J25" s="201" t="s">
        <v>170</v>
      </c>
      <c r="K25" s="206"/>
      <c r="L25" s="37"/>
      <c r="M25" s="205">
        <v>48.39</v>
      </c>
      <c r="N25" s="205">
        <v>53.49</v>
      </c>
      <c r="O25" s="202">
        <v>49.69</v>
      </c>
    </row>
    <row r="26" spans="1:16" x14ac:dyDescent="0.25">
      <c r="B26" s="201" t="s">
        <v>164</v>
      </c>
      <c r="C26" s="14"/>
      <c r="D26" s="202">
        <v>48.44</v>
      </c>
      <c r="E26" s="202">
        <v>46.61</v>
      </c>
      <c r="F26" s="202">
        <v>47.34</v>
      </c>
      <c r="G26" s="202">
        <v>47.46</v>
      </c>
      <c r="H26" s="202">
        <v>46.13</v>
      </c>
      <c r="J26" s="201" t="s">
        <v>171</v>
      </c>
      <c r="K26" s="71"/>
      <c r="L26" s="207" t="s">
        <v>228</v>
      </c>
      <c r="M26" s="205">
        <v>42.03</v>
      </c>
      <c r="N26" s="205">
        <v>46.41</v>
      </c>
      <c r="O26" s="202">
        <v>43.08</v>
      </c>
    </row>
    <row r="27" spans="1:16" x14ac:dyDescent="0.25">
      <c r="B27" s="201" t="s">
        <v>165</v>
      </c>
      <c r="C27" s="201"/>
      <c r="D27" s="202">
        <v>38.76</v>
      </c>
      <c r="E27" s="202">
        <v>37.57</v>
      </c>
      <c r="F27" s="202">
        <v>38.54</v>
      </c>
      <c r="G27" s="202">
        <v>38.700000000000003</v>
      </c>
      <c r="H27" s="202">
        <v>37.72</v>
      </c>
      <c r="J27" s="201" t="s">
        <v>172</v>
      </c>
      <c r="K27" s="71"/>
      <c r="L27" s="208"/>
      <c r="M27" s="201">
        <v>7.34</v>
      </c>
      <c r="N27" s="201">
        <f>N25-N26</f>
        <v>7.0800000000000054</v>
      </c>
      <c r="O27" s="201">
        <f>O25-O26</f>
        <v>6.6099999999999994</v>
      </c>
    </row>
    <row r="28" spans="1:16" ht="13.5" x14ac:dyDescent="0.35">
      <c r="B28" s="201" t="s">
        <v>166</v>
      </c>
      <c r="C28" s="201"/>
      <c r="D28" s="201">
        <f>D26-D27</f>
        <v>9.68</v>
      </c>
      <c r="E28" s="201">
        <f>E26-E27</f>
        <v>9.0399999999999991</v>
      </c>
      <c r="F28" s="201">
        <f>F26-F27</f>
        <v>8.8000000000000043</v>
      </c>
      <c r="G28" s="201">
        <f>G26-G27</f>
        <v>8.759999999999998</v>
      </c>
      <c r="H28" s="201">
        <f>H26-H27</f>
        <v>8.4100000000000037</v>
      </c>
      <c r="J28" s="201" t="s">
        <v>173</v>
      </c>
      <c r="K28" s="71"/>
      <c r="L28" s="37"/>
      <c r="M28" s="201">
        <f>M26-M24</f>
        <v>32.61</v>
      </c>
      <c r="N28" s="201">
        <f>N26-N24</f>
        <v>35.619999999999997</v>
      </c>
      <c r="O28" s="201">
        <f>O26-O24</f>
        <v>33.86</v>
      </c>
    </row>
    <row r="29" spans="1:16" ht="13.5" x14ac:dyDescent="0.35">
      <c r="B29" s="201" t="s">
        <v>167</v>
      </c>
      <c r="C29" s="201"/>
      <c r="D29" s="201">
        <f>D27-D25</f>
        <v>29.619999999999997</v>
      </c>
      <c r="E29" s="201">
        <f>E27-E25</f>
        <v>28.46</v>
      </c>
      <c r="F29" s="201">
        <f>F27-F25</f>
        <v>28.68</v>
      </c>
      <c r="G29" s="201">
        <f>G27-G25</f>
        <v>29.410000000000004</v>
      </c>
      <c r="H29" s="201">
        <f>H27-H25</f>
        <v>28.68</v>
      </c>
      <c r="J29" s="201" t="s">
        <v>168</v>
      </c>
      <c r="K29" s="71"/>
      <c r="L29" s="37"/>
      <c r="M29" s="203">
        <f>M27/M28*100</f>
        <v>22.508432996013493</v>
      </c>
      <c r="N29" s="203">
        <f>N27/N28*100</f>
        <v>19.876473891072447</v>
      </c>
      <c r="O29" s="203">
        <f>O27/O28*100</f>
        <v>19.521559362079149</v>
      </c>
    </row>
    <row r="30" spans="1:16" x14ac:dyDescent="0.25">
      <c r="B30" s="201" t="s">
        <v>168</v>
      </c>
      <c r="C30" s="201"/>
      <c r="D30" s="203">
        <f>D28/D29*100</f>
        <v>32.680621201890617</v>
      </c>
      <c r="E30" s="203">
        <f>E28/E29*100</f>
        <v>31.763879128601541</v>
      </c>
      <c r="F30" s="203">
        <f>F28/F29*100</f>
        <v>30.683403068340318</v>
      </c>
      <c r="G30" s="203">
        <f>G28/G29*100</f>
        <v>29.78578714722882</v>
      </c>
      <c r="H30" s="203">
        <f>H28/H29*100</f>
        <v>29.323570432357055</v>
      </c>
    </row>
    <row r="34" spans="9:16" x14ac:dyDescent="0.25">
      <c r="J34" s="254" t="s">
        <v>177</v>
      </c>
      <c r="K34" s="254"/>
      <c r="L34" s="254"/>
      <c r="M34" s="254"/>
      <c r="N34" s="254"/>
      <c r="O34" s="254"/>
      <c r="P34" s="254"/>
    </row>
    <row r="35" spans="9:16" x14ac:dyDescent="0.25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65" customHeight="1" x14ac:dyDescent="0.25">
      <c r="I36">
        <f>SUM(J36:L36)</f>
        <v>100</v>
      </c>
      <c r="J36" s="214">
        <f>Report!C39+Report!C38+Report!C37</f>
        <v>20.700000000000003</v>
      </c>
      <c r="K36" s="214">
        <f>Report!C40</f>
        <v>58.34</v>
      </c>
      <c r="L36" s="214">
        <f>Report!C41</f>
        <v>20.96</v>
      </c>
      <c r="M36" s="215">
        <f>[1]Report!$D$36</f>
        <v>31</v>
      </c>
      <c r="N36" s="215">
        <f>[1]Report!$I$45</f>
        <v>20</v>
      </c>
      <c r="O36" s="214">
        <f>Report!H41</f>
        <v>2.77</v>
      </c>
      <c r="P36" s="214">
        <f>Report!H40</f>
        <v>52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Q351"/>
  <sheetViews>
    <sheetView topLeftCell="A92" workbookViewId="0">
      <selection activeCell="N64" sqref="N64"/>
    </sheetView>
  </sheetViews>
  <sheetFormatPr defaultRowHeight="12.5" x14ac:dyDescent="0.25"/>
  <cols>
    <col min="1" max="1" width="12.81640625" customWidth="1"/>
    <col min="2" max="2" width="17.7265625" customWidth="1"/>
  </cols>
  <sheetData>
    <row r="1" spans="1:10" x14ac:dyDescent="0.25">
      <c r="A1" s="219" t="s">
        <v>178</v>
      </c>
      <c r="B1" s="219" t="s">
        <v>179</v>
      </c>
      <c r="C1" s="220" t="s">
        <v>174</v>
      </c>
      <c r="D1" s="221" t="s">
        <v>118</v>
      </c>
      <c r="E1" s="221" t="s">
        <v>119</v>
      </c>
      <c r="F1" s="221" t="s">
        <v>175</v>
      </c>
      <c r="G1" s="221" t="s">
        <v>176</v>
      </c>
      <c r="H1" s="221" t="s">
        <v>124</v>
      </c>
      <c r="I1" s="221" t="s">
        <v>123</v>
      </c>
      <c r="J1" s="243" t="s">
        <v>185</v>
      </c>
    </row>
    <row r="2" spans="1:10" x14ac:dyDescent="0.25">
      <c r="A2" s="246">
        <v>1000</v>
      </c>
      <c r="B2" s="246" t="s">
        <v>219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5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5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5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5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5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5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5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5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5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5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5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5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5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5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7" x14ac:dyDescent="0.25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  <c r="L17" s="249" t="s">
        <v>197</v>
      </c>
      <c r="M17" s="255" t="s">
        <v>211</v>
      </c>
      <c r="N17" s="256"/>
      <c r="O17" s="256"/>
      <c r="P17" s="256"/>
      <c r="Q17" s="257"/>
    </row>
    <row r="18" spans="1:17" x14ac:dyDescent="0.25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7" x14ac:dyDescent="0.25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7" x14ac:dyDescent="0.25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7" x14ac:dyDescent="0.25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7" x14ac:dyDescent="0.25">
      <c r="A22" s="216">
        <v>83</v>
      </c>
      <c r="B22" s="216" t="s">
        <v>198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7" x14ac:dyDescent="0.25">
      <c r="A23" s="216">
        <v>84</v>
      </c>
      <c r="B23" s="216" t="s">
        <v>199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7" x14ac:dyDescent="0.25">
      <c r="A24" s="216">
        <v>87</v>
      </c>
      <c r="B24" s="216" t="s">
        <v>186</v>
      </c>
      <c r="C24" s="216">
        <v>5.8</v>
      </c>
      <c r="D24" s="216">
        <v>73.03</v>
      </c>
      <c r="E24" s="216">
        <v>21.17</v>
      </c>
      <c r="F24" s="216">
        <v>37</v>
      </c>
      <c r="G24" s="216">
        <v>21</v>
      </c>
      <c r="H24" s="216" t="s">
        <v>184</v>
      </c>
      <c r="I24" s="216" t="s">
        <v>184</v>
      </c>
      <c r="J24">
        <f t="shared" si="0"/>
        <v>73</v>
      </c>
    </row>
    <row r="25" spans="1:17" x14ac:dyDescent="0.25">
      <c r="A25" s="216">
        <v>90</v>
      </c>
      <c r="B25" s="216" t="s">
        <v>200</v>
      </c>
      <c r="C25" s="216">
        <v>39.200000000000003</v>
      </c>
      <c r="D25" s="216">
        <v>44.09</v>
      </c>
      <c r="E25" s="216">
        <v>16.71</v>
      </c>
      <c r="F25" s="216">
        <v>28</v>
      </c>
      <c r="G25" s="216">
        <v>19</v>
      </c>
      <c r="H25" s="216">
        <v>1.36</v>
      </c>
      <c r="I25" s="216">
        <v>36</v>
      </c>
      <c r="J25">
        <f t="shared" si="0"/>
        <v>74</v>
      </c>
    </row>
    <row r="26" spans="1:17" x14ac:dyDescent="0.25">
      <c r="A26" s="216">
        <v>91</v>
      </c>
      <c r="B26" s="216" t="s">
        <v>201</v>
      </c>
      <c r="C26" s="216">
        <v>19.099999999999998</v>
      </c>
      <c r="D26" s="216">
        <v>54.05</v>
      </c>
      <c r="E26" s="216">
        <v>26.85</v>
      </c>
      <c r="F26" s="216">
        <v>40</v>
      </c>
      <c r="G26" s="216">
        <v>22</v>
      </c>
      <c r="H26" s="216" t="s">
        <v>184</v>
      </c>
      <c r="I26" s="216" t="s">
        <v>184</v>
      </c>
      <c r="J26">
        <f t="shared" si="0"/>
        <v>75</v>
      </c>
    </row>
    <row r="27" spans="1:17" x14ac:dyDescent="0.25">
      <c r="A27" s="216">
        <v>92</v>
      </c>
      <c r="B27" s="216" t="s">
        <v>202</v>
      </c>
      <c r="C27" s="216">
        <v>3.8</v>
      </c>
      <c r="D27" s="216">
        <v>64.819999999999993</v>
      </c>
      <c r="E27" s="216">
        <v>31.380000000000003</v>
      </c>
      <c r="F27" s="216">
        <v>37</v>
      </c>
      <c r="G27" s="216">
        <v>21</v>
      </c>
      <c r="H27" s="216" t="s">
        <v>184</v>
      </c>
      <c r="I27" s="216" t="s">
        <v>184</v>
      </c>
      <c r="J27">
        <f t="shared" si="0"/>
        <v>76</v>
      </c>
    </row>
    <row r="28" spans="1:17" x14ac:dyDescent="0.25">
      <c r="A28" s="216">
        <v>94</v>
      </c>
      <c r="B28" s="216" t="s">
        <v>187</v>
      </c>
      <c r="C28" s="216">
        <v>3</v>
      </c>
      <c r="D28" s="216">
        <v>57.5</v>
      </c>
      <c r="E28" s="216">
        <v>39.489999999999995</v>
      </c>
      <c r="F28" s="216">
        <v>44</v>
      </c>
      <c r="G28" s="216">
        <v>23</v>
      </c>
      <c r="H28" s="216" t="s">
        <v>184</v>
      </c>
      <c r="I28" s="216" t="s">
        <v>184</v>
      </c>
      <c r="J28">
        <f t="shared" si="0"/>
        <v>77</v>
      </c>
    </row>
    <row r="29" spans="1:17" x14ac:dyDescent="0.25">
      <c r="A29" s="216">
        <v>95</v>
      </c>
      <c r="B29" s="216" t="s">
        <v>203</v>
      </c>
      <c r="C29" s="216">
        <v>2.5</v>
      </c>
      <c r="D29" s="216">
        <v>69.25</v>
      </c>
      <c r="E29" s="216">
        <v>28.25</v>
      </c>
      <c r="F29" s="216">
        <v>39</v>
      </c>
      <c r="G29" s="216">
        <v>22</v>
      </c>
      <c r="H29" s="216" t="s">
        <v>184</v>
      </c>
      <c r="I29" s="216" t="s">
        <v>184</v>
      </c>
      <c r="J29">
        <f t="shared" si="0"/>
        <v>78</v>
      </c>
    </row>
    <row r="30" spans="1:17" x14ac:dyDescent="0.25">
      <c r="A30" s="216">
        <v>96</v>
      </c>
      <c r="B30" s="216" t="s">
        <v>204</v>
      </c>
      <c r="C30" s="216">
        <v>10.6</v>
      </c>
      <c r="D30" s="216">
        <v>74.25</v>
      </c>
      <c r="E30" s="216">
        <v>15.16</v>
      </c>
      <c r="F30" s="216">
        <v>40</v>
      </c>
      <c r="G30" s="216">
        <v>28</v>
      </c>
      <c r="H30" s="216">
        <v>2.41</v>
      </c>
      <c r="I30" s="216">
        <v>17.5</v>
      </c>
      <c r="J30">
        <f t="shared" si="0"/>
        <v>79</v>
      </c>
    </row>
    <row r="31" spans="1:17" x14ac:dyDescent="0.25">
      <c r="A31" s="216">
        <v>96</v>
      </c>
      <c r="B31" s="216" t="s">
        <v>205</v>
      </c>
      <c r="C31" s="216">
        <v>8.5</v>
      </c>
      <c r="D31" s="216">
        <v>78.47</v>
      </c>
      <c r="E31" s="216">
        <v>13.03</v>
      </c>
      <c r="F31" s="216">
        <v>38</v>
      </c>
      <c r="G31" s="216">
        <v>26</v>
      </c>
      <c r="H31" s="216">
        <v>2.29</v>
      </c>
      <c r="I31" s="216">
        <v>14</v>
      </c>
      <c r="J31">
        <f t="shared" si="0"/>
        <v>80</v>
      </c>
    </row>
    <row r="32" spans="1:17" x14ac:dyDescent="0.25">
      <c r="A32" s="216">
        <v>96</v>
      </c>
      <c r="B32" s="216" t="s">
        <v>206</v>
      </c>
      <c r="C32" s="216">
        <v>2</v>
      </c>
      <c r="D32" s="216">
        <v>80.19</v>
      </c>
      <c r="E32" s="216">
        <v>17.810000000000002</v>
      </c>
      <c r="F32" s="216">
        <v>38</v>
      </c>
      <c r="G32" s="216">
        <v>27</v>
      </c>
      <c r="H32" s="216">
        <v>2.42</v>
      </c>
      <c r="I32" s="216">
        <v>12.5</v>
      </c>
      <c r="J32">
        <f t="shared" si="0"/>
        <v>81</v>
      </c>
    </row>
    <row r="33" spans="1:10" x14ac:dyDescent="0.25">
      <c r="A33" s="216">
        <v>98</v>
      </c>
      <c r="B33" s="216" t="s">
        <v>191</v>
      </c>
      <c r="C33" s="216">
        <v>3.2</v>
      </c>
      <c r="D33" s="216">
        <v>64.3</v>
      </c>
      <c r="E33" s="216">
        <v>32.5</v>
      </c>
      <c r="F33" s="216">
        <v>50</v>
      </c>
      <c r="G33" s="216">
        <v>20</v>
      </c>
      <c r="H33" s="216" t="s">
        <v>184</v>
      </c>
      <c r="I33" s="216" t="s">
        <v>184</v>
      </c>
      <c r="J33">
        <f t="shared" si="0"/>
        <v>82</v>
      </c>
    </row>
    <row r="34" spans="1:10" x14ac:dyDescent="0.25">
      <c r="A34" s="216">
        <v>99</v>
      </c>
      <c r="B34" s="216" t="s">
        <v>207</v>
      </c>
      <c r="C34" s="216">
        <v>44.5</v>
      </c>
      <c r="D34" s="216">
        <v>41.14</v>
      </c>
      <c r="E34" s="216">
        <v>14.36</v>
      </c>
      <c r="F34" s="216">
        <v>27</v>
      </c>
      <c r="G34" s="216">
        <v>18</v>
      </c>
      <c r="H34" s="216">
        <v>1.43</v>
      </c>
      <c r="I34" s="216">
        <v>37.67</v>
      </c>
      <c r="J34">
        <f t="shared" si="0"/>
        <v>83</v>
      </c>
    </row>
    <row r="35" spans="1:10" x14ac:dyDescent="0.25">
      <c r="A35" s="216">
        <v>104</v>
      </c>
      <c r="B35" s="216" t="s">
        <v>208</v>
      </c>
      <c r="C35" s="216">
        <v>9.5</v>
      </c>
      <c r="D35" s="216">
        <v>75.22</v>
      </c>
      <c r="E35" s="216">
        <v>15.27</v>
      </c>
      <c r="F35" s="216">
        <v>38</v>
      </c>
      <c r="G35" s="216">
        <v>26</v>
      </c>
      <c r="H35" s="216">
        <v>2.96</v>
      </c>
      <c r="I35" s="216">
        <v>19</v>
      </c>
      <c r="J35">
        <f t="shared" si="0"/>
        <v>84</v>
      </c>
    </row>
    <row r="36" spans="1:10" x14ac:dyDescent="0.25">
      <c r="A36" s="216">
        <v>106</v>
      </c>
      <c r="B36" s="216" t="s">
        <v>187</v>
      </c>
      <c r="C36" s="216">
        <v>4.3</v>
      </c>
      <c r="D36" s="216">
        <v>67.87</v>
      </c>
      <c r="E36" s="216">
        <v>27.84</v>
      </c>
      <c r="F36" s="216">
        <v>39</v>
      </c>
      <c r="G36" s="216">
        <v>23</v>
      </c>
      <c r="H36" s="216" t="s">
        <v>184</v>
      </c>
      <c r="I36" s="216" t="s">
        <v>184</v>
      </c>
      <c r="J36">
        <f t="shared" si="0"/>
        <v>85</v>
      </c>
    </row>
    <row r="37" spans="1:10" x14ac:dyDescent="0.25">
      <c r="A37" s="216">
        <v>111</v>
      </c>
      <c r="B37" s="216" t="s">
        <v>198</v>
      </c>
      <c r="C37" s="216">
        <v>1.4</v>
      </c>
      <c r="D37" s="216">
        <v>57.7</v>
      </c>
      <c r="E37" s="216">
        <v>40.900000000000006</v>
      </c>
      <c r="F37" s="216">
        <v>56</v>
      </c>
      <c r="G37" s="216">
        <v>24</v>
      </c>
      <c r="H37" s="216" t="s">
        <v>184</v>
      </c>
      <c r="I37" s="216" t="s">
        <v>184</v>
      </c>
      <c r="J37">
        <f t="shared" si="0"/>
        <v>86</v>
      </c>
    </row>
    <row r="38" spans="1:10" x14ac:dyDescent="0.25">
      <c r="A38" s="216">
        <v>114</v>
      </c>
      <c r="B38" s="216" t="s">
        <v>209</v>
      </c>
      <c r="C38" s="216">
        <v>5.5</v>
      </c>
      <c r="D38" s="216">
        <v>65.06</v>
      </c>
      <c r="E38" s="216">
        <v>29.439999999999998</v>
      </c>
      <c r="F38" s="216">
        <v>39</v>
      </c>
      <c r="G38" s="216">
        <v>21</v>
      </c>
      <c r="H38" s="216" t="s">
        <v>184</v>
      </c>
      <c r="I38" s="216" t="s">
        <v>184</v>
      </c>
      <c r="J38">
        <f t="shared" si="0"/>
        <v>87</v>
      </c>
    </row>
    <row r="39" spans="1:10" x14ac:dyDescent="0.25">
      <c r="A39" s="216">
        <v>118</v>
      </c>
      <c r="B39" s="216" t="s">
        <v>198</v>
      </c>
      <c r="C39" s="216">
        <v>3.7</v>
      </c>
      <c r="D39" s="216">
        <v>69.44</v>
      </c>
      <c r="E39" s="216">
        <v>26.869999999999997</v>
      </c>
      <c r="F39" s="216">
        <v>41</v>
      </c>
      <c r="G39" s="216">
        <v>22</v>
      </c>
      <c r="H39" s="216" t="s">
        <v>184</v>
      </c>
      <c r="I39" s="216" t="s">
        <v>184</v>
      </c>
      <c r="J39">
        <f t="shared" si="0"/>
        <v>88</v>
      </c>
    </row>
    <row r="40" spans="1:10" x14ac:dyDescent="0.25">
      <c r="A40" s="216">
        <v>119</v>
      </c>
      <c r="B40" s="216" t="s">
        <v>210</v>
      </c>
      <c r="C40" s="216">
        <v>2.2999999999999998</v>
      </c>
      <c r="D40" s="216">
        <v>75.48</v>
      </c>
      <c r="E40" s="216">
        <v>22.22</v>
      </c>
      <c r="F40" s="216">
        <v>36</v>
      </c>
      <c r="G40" s="216">
        <v>28</v>
      </c>
      <c r="H40" s="216" t="s">
        <v>184</v>
      </c>
      <c r="I40" s="216" t="s">
        <v>184</v>
      </c>
      <c r="J40">
        <f t="shared" si="0"/>
        <v>89</v>
      </c>
    </row>
    <row r="41" spans="1:10" x14ac:dyDescent="0.25">
      <c r="A41" s="216">
        <v>119</v>
      </c>
      <c r="B41" s="216" t="s">
        <v>187</v>
      </c>
      <c r="C41" s="216">
        <v>5.4</v>
      </c>
      <c r="D41" s="216">
        <v>62.98</v>
      </c>
      <c r="E41" s="216">
        <v>31.62</v>
      </c>
      <c r="F41" s="216">
        <v>34</v>
      </c>
      <c r="G41" s="216">
        <v>21</v>
      </c>
      <c r="H41" s="216" t="s">
        <v>184</v>
      </c>
      <c r="I41" s="216" t="s">
        <v>184</v>
      </c>
      <c r="J41">
        <f t="shared" si="0"/>
        <v>90</v>
      </c>
    </row>
    <row r="42" spans="1:10" x14ac:dyDescent="0.25">
      <c r="A42" s="216">
        <v>120</v>
      </c>
      <c r="B42" s="216" t="s">
        <v>212</v>
      </c>
      <c r="C42" s="216">
        <v>40.200000000000003</v>
      </c>
      <c r="D42" s="216">
        <v>43.43</v>
      </c>
      <c r="E42" s="216">
        <v>16.36</v>
      </c>
      <c r="F42" s="216">
        <v>28</v>
      </c>
      <c r="G42" s="216">
        <v>20</v>
      </c>
      <c r="H42" s="216">
        <v>1.58</v>
      </c>
      <c r="I42" s="216">
        <v>40.5</v>
      </c>
      <c r="J42">
        <v>91</v>
      </c>
    </row>
    <row r="43" spans="1:10" x14ac:dyDescent="0.25">
      <c r="A43" s="216">
        <v>123</v>
      </c>
      <c r="B43" s="216" t="s">
        <v>187</v>
      </c>
      <c r="C43" s="216">
        <v>3.2</v>
      </c>
      <c r="D43" s="216">
        <v>66.27</v>
      </c>
      <c r="E43" s="216">
        <v>30.54</v>
      </c>
      <c r="F43" s="216">
        <v>36</v>
      </c>
      <c r="G43" s="216">
        <v>22</v>
      </c>
      <c r="H43" s="216" t="s">
        <v>184</v>
      </c>
      <c r="I43" s="216" t="s">
        <v>184</v>
      </c>
      <c r="J43">
        <v>92</v>
      </c>
    </row>
    <row r="44" spans="1:10" x14ac:dyDescent="0.25">
      <c r="A44" s="216">
        <v>127</v>
      </c>
      <c r="B44" s="216" t="s">
        <v>198</v>
      </c>
      <c r="C44" s="216">
        <v>1.5</v>
      </c>
      <c r="D44" s="216">
        <v>59.73</v>
      </c>
      <c r="E44" s="216">
        <v>38.770000000000003</v>
      </c>
      <c r="F44" s="216">
        <v>43</v>
      </c>
      <c r="G44" s="216">
        <v>20</v>
      </c>
      <c r="H44" s="216" t="s">
        <v>184</v>
      </c>
      <c r="I44" s="216" t="s">
        <v>184</v>
      </c>
      <c r="J44">
        <v>93</v>
      </c>
    </row>
    <row r="45" spans="1:10" x14ac:dyDescent="0.25">
      <c r="A45" s="216">
        <v>130</v>
      </c>
      <c r="B45" s="216" t="s">
        <v>213</v>
      </c>
      <c r="C45" s="216">
        <v>36.6</v>
      </c>
      <c r="D45" s="216">
        <v>47.63</v>
      </c>
      <c r="E45" s="216">
        <v>15.77</v>
      </c>
      <c r="F45" s="216">
        <v>38</v>
      </c>
      <c r="G45" s="216">
        <v>21</v>
      </c>
      <c r="H45" s="216">
        <v>2.9</v>
      </c>
      <c r="I45" s="216">
        <v>34.5</v>
      </c>
      <c r="J45">
        <v>94</v>
      </c>
    </row>
    <row r="46" spans="1:10" x14ac:dyDescent="0.25">
      <c r="A46" s="216">
        <v>136</v>
      </c>
      <c r="B46" s="216" t="s">
        <v>214</v>
      </c>
      <c r="C46" s="216">
        <v>1.7</v>
      </c>
      <c r="D46" s="216">
        <v>87.27</v>
      </c>
      <c r="E46" s="216">
        <v>11.03</v>
      </c>
      <c r="F46" s="216">
        <v>38</v>
      </c>
      <c r="G46" s="216">
        <v>27</v>
      </c>
      <c r="H46" s="216">
        <v>1.81</v>
      </c>
      <c r="I46" s="216">
        <v>7.75</v>
      </c>
      <c r="J46">
        <v>95</v>
      </c>
    </row>
    <row r="47" spans="1:10" x14ac:dyDescent="0.25">
      <c r="A47" s="216">
        <v>137</v>
      </c>
      <c r="B47" s="216" t="s">
        <v>198</v>
      </c>
      <c r="C47" s="216">
        <v>9</v>
      </c>
      <c r="D47" s="216">
        <v>66.040000000000006</v>
      </c>
      <c r="E47" s="216">
        <v>24.96</v>
      </c>
      <c r="F47" s="216">
        <v>43</v>
      </c>
      <c r="G47" s="216">
        <v>23</v>
      </c>
      <c r="H47" s="216" t="s">
        <v>184</v>
      </c>
      <c r="I47" s="216" t="s">
        <v>184</v>
      </c>
      <c r="J47">
        <v>96</v>
      </c>
    </row>
    <row r="48" spans="1:10" x14ac:dyDescent="0.25">
      <c r="A48" s="216">
        <v>140</v>
      </c>
      <c r="B48" s="216" t="s">
        <v>146</v>
      </c>
      <c r="C48" s="216">
        <v>1.9</v>
      </c>
      <c r="D48" s="216">
        <v>85.36</v>
      </c>
      <c r="E48" s="216">
        <v>12.75</v>
      </c>
      <c r="F48" s="216">
        <v>54</v>
      </c>
      <c r="G48" s="216">
        <v>37</v>
      </c>
      <c r="H48" s="216">
        <v>2.08</v>
      </c>
      <c r="I48" s="216">
        <v>6.75</v>
      </c>
      <c r="J48">
        <v>97</v>
      </c>
    </row>
    <row r="49" spans="1:10" x14ac:dyDescent="0.25">
      <c r="A49" s="216">
        <v>140</v>
      </c>
      <c r="B49" s="216" t="s">
        <v>215</v>
      </c>
      <c r="C49" s="216">
        <v>45.9</v>
      </c>
      <c r="D49" s="216">
        <v>38.72</v>
      </c>
      <c r="E49" s="216">
        <v>15.38</v>
      </c>
      <c r="F49" s="216">
        <v>25</v>
      </c>
      <c r="G49" s="216">
        <v>18</v>
      </c>
      <c r="H49" s="216">
        <v>0.52</v>
      </c>
      <c r="I49" s="216">
        <v>54.67</v>
      </c>
      <c r="J49">
        <v>98</v>
      </c>
    </row>
    <row r="50" spans="1:10" x14ac:dyDescent="0.25">
      <c r="A50" s="216">
        <v>1</v>
      </c>
      <c r="B50" s="216" t="s">
        <v>191</v>
      </c>
      <c r="C50" s="216">
        <v>11.5</v>
      </c>
      <c r="D50" s="216">
        <v>58.08</v>
      </c>
      <c r="E50" s="216">
        <v>30.42</v>
      </c>
      <c r="F50" s="216">
        <v>41</v>
      </c>
      <c r="G50" s="216">
        <v>21</v>
      </c>
      <c r="H50" s="216"/>
      <c r="I50" s="216"/>
    </row>
    <row r="51" spans="1:10" x14ac:dyDescent="0.25">
      <c r="A51" s="216">
        <v>4</v>
      </c>
      <c r="B51" s="216" t="s">
        <v>146</v>
      </c>
      <c r="C51" s="216">
        <v>1.3</v>
      </c>
      <c r="D51" s="216">
        <v>53.31</v>
      </c>
      <c r="E51" s="216">
        <v>45.39</v>
      </c>
      <c r="F51" s="216">
        <v>42</v>
      </c>
      <c r="G51" s="216">
        <v>23</v>
      </c>
      <c r="H51" s="216"/>
      <c r="I51" s="216"/>
    </row>
    <row r="52" spans="1:10" x14ac:dyDescent="0.25">
      <c r="A52" s="216">
        <v>4</v>
      </c>
      <c r="B52" s="216" t="s">
        <v>209</v>
      </c>
      <c r="C52" s="216">
        <v>2.7</v>
      </c>
      <c r="D52" s="216">
        <v>70.66</v>
      </c>
      <c r="E52" s="216">
        <v>26.64</v>
      </c>
      <c r="F52" s="216">
        <v>37</v>
      </c>
      <c r="G52" s="216">
        <v>23</v>
      </c>
      <c r="H52" s="216"/>
      <c r="I52" s="216"/>
    </row>
    <row r="53" spans="1:10" x14ac:dyDescent="0.25">
      <c r="A53" s="216">
        <v>5</v>
      </c>
      <c r="B53" s="216" t="s">
        <v>198</v>
      </c>
      <c r="C53" s="216">
        <v>3.7</v>
      </c>
      <c r="D53" s="216">
        <v>58.37</v>
      </c>
      <c r="E53" s="216">
        <v>37.93</v>
      </c>
      <c r="F53" s="216">
        <v>40</v>
      </c>
      <c r="G53" s="216">
        <v>22</v>
      </c>
      <c r="H53" s="216" t="s">
        <v>184</v>
      </c>
      <c r="I53" s="216" t="s">
        <v>184</v>
      </c>
      <c r="J53">
        <v>1</v>
      </c>
    </row>
    <row r="54" spans="1:10" x14ac:dyDescent="0.25">
      <c r="A54" s="216">
        <v>6</v>
      </c>
      <c r="B54" s="216" t="s">
        <v>198</v>
      </c>
      <c r="C54" s="216">
        <v>8.3000000000000007</v>
      </c>
      <c r="D54" s="216">
        <v>54.14</v>
      </c>
      <c r="E54" s="216">
        <v>37.56</v>
      </c>
      <c r="F54" s="216">
        <v>34</v>
      </c>
      <c r="G54" s="216">
        <v>19</v>
      </c>
      <c r="H54" s="216" t="s">
        <v>184</v>
      </c>
      <c r="I54" s="216" t="s">
        <v>184</v>
      </c>
      <c r="J54">
        <v>2</v>
      </c>
    </row>
    <row r="55" spans="1:10" x14ac:dyDescent="0.25">
      <c r="A55" s="216">
        <v>7</v>
      </c>
      <c r="B55" s="216" t="s">
        <v>146</v>
      </c>
      <c r="C55" s="216">
        <v>0.3</v>
      </c>
      <c r="D55" s="216">
        <v>22.69</v>
      </c>
      <c r="E55" s="216">
        <v>77.009999999999991</v>
      </c>
      <c r="F55" s="216">
        <v>40</v>
      </c>
      <c r="G55" s="216">
        <v>25</v>
      </c>
      <c r="H55" s="216" t="s">
        <v>184</v>
      </c>
      <c r="I55" s="216" t="s">
        <v>184</v>
      </c>
      <c r="J55">
        <f t="shared" si="0"/>
        <v>3</v>
      </c>
    </row>
    <row r="56" spans="1:10" x14ac:dyDescent="0.25">
      <c r="A56" s="216">
        <v>7</v>
      </c>
      <c r="B56" s="216" t="s">
        <v>216</v>
      </c>
      <c r="C56" s="216">
        <v>4.5999999999999996</v>
      </c>
      <c r="D56" s="216">
        <v>70.319999999999993</v>
      </c>
      <c r="E56" s="216">
        <v>25.08</v>
      </c>
      <c r="F56" s="216">
        <v>38</v>
      </c>
      <c r="G56" s="216">
        <v>26</v>
      </c>
      <c r="H56" s="216" t="s">
        <v>184</v>
      </c>
      <c r="I56" s="216" t="s">
        <v>184</v>
      </c>
      <c r="J56">
        <f t="shared" si="0"/>
        <v>4</v>
      </c>
    </row>
    <row r="57" spans="1:10" x14ac:dyDescent="0.25">
      <c r="A57" s="216">
        <v>8</v>
      </c>
      <c r="B57" s="216" t="s">
        <v>146</v>
      </c>
      <c r="C57" s="216">
        <v>1.2</v>
      </c>
      <c r="D57" s="216">
        <v>41.67</v>
      </c>
      <c r="E57" s="216">
        <v>57.13</v>
      </c>
      <c r="F57" s="216">
        <v>55</v>
      </c>
      <c r="G57" s="216">
        <v>27</v>
      </c>
      <c r="H57" s="216" t="s">
        <v>184</v>
      </c>
      <c r="I57" s="216" t="s">
        <v>184</v>
      </c>
      <c r="J57">
        <f t="shared" si="0"/>
        <v>5</v>
      </c>
    </row>
    <row r="58" spans="1:10" x14ac:dyDescent="0.25">
      <c r="A58" s="216">
        <v>13</v>
      </c>
      <c r="B58" s="216" t="s">
        <v>192</v>
      </c>
      <c r="C58" s="216">
        <v>0.7</v>
      </c>
      <c r="D58" s="216">
        <v>58.66</v>
      </c>
      <c r="E58" s="216">
        <v>40.64</v>
      </c>
      <c r="F58" s="216">
        <v>67</v>
      </c>
      <c r="G58" s="216">
        <v>36</v>
      </c>
      <c r="H58" s="216" t="s">
        <v>184</v>
      </c>
      <c r="I58" s="216" t="s">
        <v>184</v>
      </c>
      <c r="J58">
        <f t="shared" si="0"/>
        <v>6</v>
      </c>
    </row>
    <row r="59" spans="1:10" x14ac:dyDescent="0.25">
      <c r="A59" s="216">
        <v>15</v>
      </c>
      <c r="B59" s="216" t="s">
        <v>217</v>
      </c>
      <c r="C59" s="216">
        <v>8.1</v>
      </c>
      <c r="D59" s="216">
        <v>53.53</v>
      </c>
      <c r="E59" s="216">
        <v>38.369999999999997</v>
      </c>
      <c r="F59" s="216">
        <v>44</v>
      </c>
      <c r="G59" s="216">
        <v>19</v>
      </c>
      <c r="H59" s="216" t="s">
        <v>184</v>
      </c>
      <c r="I59" s="216" t="s">
        <v>184</v>
      </c>
      <c r="J59">
        <f t="shared" si="0"/>
        <v>7</v>
      </c>
    </row>
    <row r="60" spans="1:10" x14ac:dyDescent="0.25">
      <c r="A60" s="216">
        <v>15</v>
      </c>
      <c r="B60" s="216" t="s">
        <v>204</v>
      </c>
      <c r="C60" s="216">
        <v>0.7</v>
      </c>
      <c r="D60" s="216">
        <v>68</v>
      </c>
      <c r="E60" s="216">
        <v>31.29</v>
      </c>
      <c r="F60" s="216">
        <v>65</v>
      </c>
      <c r="G60" s="216">
        <v>32</v>
      </c>
      <c r="H60" s="216" t="s">
        <v>184</v>
      </c>
      <c r="I60" s="216" t="s">
        <v>184</v>
      </c>
      <c r="J60">
        <f t="shared" si="0"/>
        <v>8</v>
      </c>
    </row>
    <row r="61" spans="1:10" x14ac:dyDescent="0.25">
      <c r="A61" s="216">
        <v>19</v>
      </c>
      <c r="B61" s="216" t="s">
        <v>187</v>
      </c>
      <c r="C61" s="216">
        <v>2.1</v>
      </c>
      <c r="D61" s="216">
        <v>64.81</v>
      </c>
      <c r="E61" s="216">
        <v>33.090000000000003</v>
      </c>
      <c r="F61" s="216">
        <v>39</v>
      </c>
      <c r="G61" s="216">
        <v>22</v>
      </c>
      <c r="H61" s="216" t="s">
        <v>184</v>
      </c>
      <c r="I61" s="216" t="s">
        <v>184</v>
      </c>
      <c r="J61">
        <f t="shared" si="0"/>
        <v>9</v>
      </c>
    </row>
    <row r="62" spans="1:10" x14ac:dyDescent="0.25">
      <c r="A62" s="216">
        <v>20</v>
      </c>
      <c r="B62" s="216" t="s">
        <v>196</v>
      </c>
      <c r="C62" s="216">
        <v>7.8</v>
      </c>
      <c r="D62" s="216">
        <v>69.28</v>
      </c>
      <c r="E62" s="216">
        <v>22.92</v>
      </c>
      <c r="F62" s="216">
        <v>36</v>
      </c>
      <c r="G62" s="216">
        <v>21</v>
      </c>
      <c r="H62" s="216" t="s">
        <v>184</v>
      </c>
      <c r="I62" s="216" t="s">
        <v>184</v>
      </c>
      <c r="J62">
        <f t="shared" si="0"/>
        <v>10</v>
      </c>
    </row>
    <row r="63" spans="1:10" x14ac:dyDescent="0.25">
      <c r="A63" s="216">
        <v>21</v>
      </c>
      <c r="B63" s="216" t="s">
        <v>186</v>
      </c>
      <c r="C63" s="216">
        <v>17.8</v>
      </c>
      <c r="D63" s="216">
        <v>65.88</v>
      </c>
      <c r="E63" s="216">
        <v>16.32</v>
      </c>
      <c r="F63" s="216">
        <v>37</v>
      </c>
      <c r="G63" s="216">
        <v>23</v>
      </c>
      <c r="H63" s="216">
        <v>1.92</v>
      </c>
      <c r="I63" s="216">
        <v>22</v>
      </c>
      <c r="J63">
        <f t="shared" si="0"/>
        <v>11</v>
      </c>
    </row>
    <row r="64" spans="1:10" x14ac:dyDescent="0.25">
      <c r="A64" s="216">
        <v>22</v>
      </c>
      <c r="B64" s="216" t="s">
        <v>217</v>
      </c>
      <c r="C64" s="216">
        <v>2.4</v>
      </c>
      <c r="D64" s="216">
        <v>67.23</v>
      </c>
      <c r="E64" s="216">
        <v>30.37</v>
      </c>
      <c r="F64" s="216">
        <v>38</v>
      </c>
      <c r="G64" s="216">
        <v>23</v>
      </c>
      <c r="H64" s="216" t="s">
        <v>184</v>
      </c>
      <c r="I64" s="216" t="s">
        <v>184</v>
      </c>
      <c r="J64">
        <f t="shared" si="0"/>
        <v>12</v>
      </c>
    </row>
    <row r="65" spans="1:15" x14ac:dyDescent="0.25">
      <c r="A65" s="216">
        <v>29</v>
      </c>
      <c r="B65" s="216" t="s">
        <v>187</v>
      </c>
      <c r="C65" s="216">
        <v>4.5</v>
      </c>
      <c r="D65" s="216">
        <v>56.58</v>
      </c>
      <c r="E65" s="216">
        <v>38.92</v>
      </c>
      <c r="F65" s="216">
        <v>54</v>
      </c>
      <c r="G65" s="216">
        <v>32</v>
      </c>
      <c r="H65" s="216" t="s">
        <v>184</v>
      </c>
      <c r="I65" s="216" t="s">
        <v>184</v>
      </c>
      <c r="J65">
        <f t="shared" si="0"/>
        <v>13</v>
      </c>
    </row>
    <row r="66" spans="1:15" x14ac:dyDescent="0.25">
      <c r="A66" s="216">
        <v>34</v>
      </c>
      <c r="B66" s="216" t="s">
        <v>146</v>
      </c>
      <c r="C66" s="216">
        <v>3.1999999999999997</v>
      </c>
      <c r="D66" s="216">
        <v>61.77</v>
      </c>
      <c r="E66" s="216">
        <v>35.03</v>
      </c>
      <c r="F66" s="216">
        <v>37</v>
      </c>
      <c r="G66" s="216">
        <v>24</v>
      </c>
      <c r="H66" s="216" t="s">
        <v>184</v>
      </c>
      <c r="I66" s="216" t="s">
        <v>184</v>
      </c>
      <c r="J66">
        <f t="shared" si="0"/>
        <v>14</v>
      </c>
    </row>
    <row r="67" spans="1:15" x14ac:dyDescent="0.25">
      <c r="A67" s="216">
        <v>35</v>
      </c>
      <c r="B67" s="216" t="s">
        <v>189</v>
      </c>
      <c r="C67" s="216">
        <v>3.9</v>
      </c>
      <c r="D67" s="216">
        <v>64.2</v>
      </c>
      <c r="E67" s="216">
        <v>31.9</v>
      </c>
      <c r="F67" s="216">
        <v>37</v>
      </c>
      <c r="G67" s="216">
        <v>20</v>
      </c>
      <c r="H67" s="216" t="s">
        <v>184</v>
      </c>
      <c r="I67" s="216" t="s">
        <v>184</v>
      </c>
      <c r="J67">
        <f t="shared" si="0"/>
        <v>15</v>
      </c>
    </row>
    <row r="68" spans="1:15" x14ac:dyDescent="0.25">
      <c r="A68" s="216">
        <v>32</v>
      </c>
      <c r="B68" s="216" t="s">
        <v>146</v>
      </c>
      <c r="C68" s="216">
        <v>1.8</v>
      </c>
      <c r="D68" s="216">
        <v>62.5</v>
      </c>
      <c r="E68" s="216">
        <v>35.700000000000003</v>
      </c>
      <c r="F68" s="216">
        <v>42</v>
      </c>
      <c r="G68" s="216">
        <v>26</v>
      </c>
      <c r="H68" s="216" t="s">
        <v>184</v>
      </c>
      <c r="I68" s="216" t="s">
        <v>184</v>
      </c>
      <c r="J68">
        <f t="shared" ref="J68:J131" si="1">J67+1</f>
        <v>16</v>
      </c>
    </row>
    <row r="69" spans="1:15" x14ac:dyDescent="0.25">
      <c r="A69" s="216">
        <v>37</v>
      </c>
      <c r="B69" s="216" t="s">
        <v>191</v>
      </c>
      <c r="C69" s="216">
        <v>0.6</v>
      </c>
      <c r="D69" s="216">
        <v>37.1</v>
      </c>
      <c r="E69" s="216">
        <v>62.31</v>
      </c>
      <c r="F69" s="216">
        <v>48</v>
      </c>
      <c r="G69" s="216">
        <v>24</v>
      </c>
      <c r="H69" s="216" t="s">
        <v>184</v>
      </c>
      <c r="I69" s="216" t="s">
        <v>184</v>
      </c>
      <c r="J69">
        <f t="shared" si="1"/>
        <v>17</v>
      </c>
    </row>
    <row r="70" spans="1:15" x14ac:dyDescent="0.25">
      <c r="A70" s="216">
        <v>41</v>
      </c>
      <c r="B70" s="216" t="s">
        <v>201</v>
      </c>
      <c r="C70" s="216">
        <v>4.7</v>
      </c>
      <c r="D70" s="216">
        <v>68.37</v>
      </c>
      <c r="E70" s="216">
        <v>26.93</v>
      </c>
      <c r="F70" s="216">
        <v>40</v>
      </c>
      <c r="G70" s="216">
        <v>23</v>
      </c>
      <c r="H70" s="216" t="s">
        <v>184</v>
      </c>
      <c r="I70" s="216" t="s">
        <v>184</v>
      </c>
      <c r="J70">
        <f t="shared" si="1"/>
        <v>18</v>
      </c>
    </row>
    <row r="71" spans="1:15" x14ac:dyDescent="0.25">
      <c r="A71" s="216">
        <v>42</v>
      </c>
      <c r="B71" s="216" t="s">
        <v>208</v>
      </c>
      <c r="C71" s="216">
        <v>1.4</v>
      </c>
      <c r="D71" s="216">
        <v>64.52</v>
      </c>
      <c r="E71" s="216">
        <v>34.08</v>
      </c>
      <c r="F71" s="216">
        <v>43</v>
      </c>
      <c r="G71" s="216">
        <v>26</v>
      </c>
      <c r="H71" s="216" t="s">
        <v>184</v>
      </c>
      <c r="I71" s="216" t="s">
        <v>184</v>
      </c>
      <c r="J71">
        <f t="shared" si="1"/>
        <v>19</v>
      </c>
      <c r="K71" s="258" t="s">
        <v>218</v>
      </c>
      <c r="L71" s="258"/>
      <c r="M71" s="258"/>
      <c r="N71" s="258"/>
      <c r="O71" s="258"/>
    </row>
    <row r="72" spans="1:15" x14ac:dyDescent="0.25">
      <c r="A72" s="216">
        <v>1</v>
      </c>
      <c r="B72" s="216" t="s">
        <v>146</v>
      </c>
      <c r="C72" s="216">
        <v>18.900000000000002</v>
      </c>
      <c r="D72" s="216">
        <v>39.43</v>
      </c>
      <c r="E72" s="216">
        <v>41.67</v>
      </c>
      <c r="F72" s="216">
        <v>39</v>
      </c>
      <c r="G72" s="216">
        <v>21</v>
      </c>
      <c r="H72" s="216" t="s">
        <v>184</v>
      </c>
      <c r="I72" s="216" t="s">
        <v>184</v>
      </c>
      <c r="J72">
        <f t="shared" si="1"/>
        <v>20</v>
      </c>
    </row>
    <row r="73" spans="1:15" x14ac:dyDescent="0.25">
      <c r="A73" s="216">
        <v>3</v>
      </c>
      <c r="B73" s="216" t="s">
        <v>220</v>
      </c>
      <c r="C73" s="216">
        <v>18.7</v>
      </c>
      <c r="D73" s="216">
        <v>41.15</v>
      </c>
      <c r="E73" s="216">
        <v>40.15</v>
      </c>
      <c r="F73" s="216">
        <v>62</v>
      </c>
      <c r="G73" s="216">
        <v>33</v>
      </c>
      <c r="H73" s="216" t="s">
        <v>184</v>
      </c>
      <c r="I73" s="216" t="s">
        <v>184</v>
      </c>
      <c r="J73">
        <f t="shared" si="1"/>
        <v>21</v>
      </c>
    </row>
    <row r="74" spans="1:15" x14ac:dyDescent="0.25">
      <c r="A74" s="216">
        <v>4</v>
      </c>
      <c r="B74" s="216" t="s">
        <v>221</v>
      </c>
      <c r="C74" s="216">
        <v>8</v>
      </c>
      <c r="D74" s="216">
        <v>65.8</v>
      </c>
      <c r="E74" s="216">
        <v>26.200000000000003</v>
      </c>
      <c r="F74" s="216">
        <v>38</v>
      </c>
      <c r="G74" s="216">
        <v>22</v>
      </c>
      <c r="H74" s="216" t="s">
        <v>184</v>
      </c>
      <c r="I74" s="216" t="s">
        <v>184</v>
      </c>
      <c r="J74">
        <f t="shared" si="1"/>
        <v>22</v>
      </c>
    </row>
    <row r="75" spans="1:15" x14ac:dyDescent="0.25">
      <c r="A75" s="216">
        <v>5</v>
      </c>
      <c r="B75" s="216" t="s">
        <v>204</v>
      </c>
      <c r="C75" s="216">
        <v>9.0999999999999979</v>
      </c>
      <c r="D75" s="216">
        <v>40.28</v>
      </c>
      <c r="E75" s="216">
        <v>50.62</v>
      </c>
      <c r="F75" s="216">
        <v>48</v>
      </c>
      <c r="G75" s="216">
        <v>24</v>
      </c>
      <c r="H75" s="216" t="s">
        <v>184</v>
      </c>
      <c r="I75" s="216" t="s">
        <v>184</v>
      </c>
      <c r="J75">
        <f t="shared" si="1"/>
        <v>23</v>
      </c>
    </row>
    <row r="76" spans="1:15" x14ac:dyDescent="0.25">
      <c r="A76" s="216">
        <v>6</v>
      </c>
      <c r="B76" s="216" t="s">
        <v>222</v>
      </c>
      <c r="C76" s="216">
        <v>2.2999999999999998</v>
      </c>
      <c r="D76" s="216">
        <v>60.76</v>
      </c>
      <c r="E76" s="216">
        <v>36.950000000000003</v>
      </c>
      <c r="F76" s="216">
        <v>48</v>
      </c>
      <c r="G76" s="216">
        <v>27</v>
      </c>
      <c r="H76" s="216" t="s">
        <v>184</v>
      </c>
      <c r="I76" s="216" t="s">
        <v>184</v>
      </c>
      <c r="J76">
        <f t="shared" si="1"/>
        <v>24</v>
      </c>
    </row>
    <row r="77" spans="1:15" x14ac:dyDescent="0.25">
      <c r="A77" s="216">
        <v>8</v>
      </c>
      <c r="B77" s="216" t="s">
        <v>204</v>
      </c>
      <c r="C77" s="216">
        <v>2</v>
      </c>
      <c r="D77" s="216">
        <v>48.16</v>
      </c>
      <c r="E77" s="216">
        <v>49.839999999999996</v>
      </c>
      <c r="F77" s="216">
        <v>56</v>
      </c>
      <c r="G77" s="216">
        <v>31</v>
      </c>
      <c r="H77" s="216" t="s">
        <v>184</v>
      </c>
      <c r="I77" s="216" t="s">
        <v>184</v>
      </c>
      <c r="J77">
        <f t="shared" si="1"/>
        <v>25</v>
      </c>
    </row>
    <row r="78" spans="1:15" x14ac:dyDescent="0.25">
      <c r="A78" s="216">
        <v>8</v>
      </c>
      <c r="B78" s="216" t="s">
        <v>223</v>
      </c>
      <c r="C78" s="216">
        <v>19</v>
      </c>
      <c r="D78" s="216">
        <v>41.91</v>
      </c>
      <c r="E78" s="216">
        <v>39.090000000000003</v>
      </c>
      <c r="F78" s="216">
        <v>54</v>
      </c>
      <c r="G78" s="216">
        <v>25</v>
      </c>
      <c r="H78" s="216" t="s">
        <v>184</v>
      </c>
      <c r="I78" s="216" t="s">
        <v>184</v>
      </c>
      <c r="J78">
        <f t="shared" si="1"/>
        <v>26</v>
      </c>
    </row>
    <row r="79" spans="1:15" x14ac:dyDescent="0.25">
      <c r="A79" s="216">
        <v>10</v>
      </c>
      <c r="B79" s="216" t="s">
        <v>224</v>
      </c>
      <c r="C79" s="216">
        <v>3.9</v>
      </c>
      <c r="D79" s="216">
        <v>51.52</v>
      </c>
      <c r="E79" s="216">
        <v>44.58</v>
      </c>
      <c r="F79" s="216">
        <v>48</v>
      </c>
      <c r="G79" s="216">
        <v>27</v>
      </c>
      <c r="H79" s="216" t="s">
        <v>184</v>
      </c>
      <c r="I79" s="216" t="s">
        <v>184</v>
      </c>
      <c r="J79">
        <f t="shared" si="1"/>
        <v>27</v>
      </c>
    </row>
    <row r="80" spans="1:15" x14ac:dyDescent="0.25">
      <c r="A80" s="216">
        <v>12</v>
      </c>
      <c r="B80" s="216" t="s">
        <v>204</v>
      </c>
      <c r="C80" s="216">
        <v>34.6</v>
      </c>
      <c r="D80" s="216">
        <v>48.81</v>
      </c>
      <c r="E80" s="216">
        <v>16.600000000000001</v>
      </c>
      <c r="F80" s="216">
        <v>22</v>
      </c>
      <c r="G80" s="216">
        <v>17</v>
      </c>
      <c r="H80" s="216">
        <v>4.45</v>
      </c>
      <c r="I80" s="216">
        <v>65</v>
      </c>
      <c r="J80">
        <f t="shared" si="1"/>
        <v>28</v>
      </c>
    </row>
    <row r="81" spans="1:10" x14ac:dyDescent="0.25">
      <c r="A81" s="216">
        <v>13</v>
      </c>
      <c r="B81" s="216" t="s">
        <v>225</v>
      </c>
      <c r="C81" s="216">
        <v>12.9</v>
      </c>
      <c r="D81" s="216">
        <v>56.32</v>
      </c>
      <c r="E81" s="216">
        <v>30.78</v>
      </c>
      <c r="F81" s="216">
        <v>48</v>
      </c>
      <c r="G81" s="216">
        <v>25</v>
      </c>
      <c r="H81" s="216">
        <v>1.0900000000000001</v>
      </c>
      <c r="I81" s="216">
        <v>23</v>
      </c>
      <c r="J81">
        <f t="shared" si="1"/>
        <v>29</v>
      </c>
    </row>
    <row r="82" spans="1:10" x14ac:dyDescent="0.25">
      <c r="A82" s="216">
        <v>14</v>
      </c>
      <c r="B82" s="216" t="s">
        <v>204</v>
      </c>
      <c r="C82" s="216">
        <v>0.5</v>
      </c>
      <c r="D82" s="216">
        <v>48.3</v>
      </c>
      <c r="E82" s="216">
        <v>51.2</v>
      </c>
      <c r="F82" s="216">
        <v>59</v>
      </c>
      <c r="G82" s="216">
        <v>30</v>
      </c>
      <c r="H82" s="216" t="s">
        <v>184</v>
      </c>
      <c r="I82" s="216" t="s">
        <v>184</v>
      </c>
      <c r="J82">
        <f t="shared" si="1"/>
        <v>30</v>
      </c>
    </row>
    <row r="83" spans="1:10" x14ac:dyDescent="0.25">
      <c r="A83" s="216">
        <v>15</v>
      </c>
      <c r="B83" s="216" t="s">
        <v>226</v>
      </c>
      <c r="C83" s="216">
        <v>25.599999999999998</v>
      </c>
      <c r="D83" s="216">
        <v>51.74</v>
      </c>
      <c r="E83" s="216">
        <v>22.66</v>
      </c>
      <c r="F83" s="216">
        <v>31</v>
      </c>
      <c r="G83" s="216">
        <v>21</v>
      </c>
      <c r="H83" s="216" t="s">
        <v>184</v>
      </c>
      <c r="I83" s="216" t="s">
        <v>184</v>
      </c>
      <c r="J83">
        <f t="shared" si="1"/>
        <v>31</v>
      </c>
    </row>
    <row r="84" spans="1:10" x14ac:dyDescent="0.25">
      <c r="A84" s="216">
        <v>16</v>
      </c>
      <c r="B84" s="216" t="s">
        <v>204</v>
      </c>
      <c r="C84" s="216">
        <v>8</v>
      </c>
      <c r="D84" s="216">
        <v>51.08</v>
      </c>
      <c r="E84" s="216">
        <v>40.92</v>
      </c>
      <c r="F84" s="216">
        <v>51</v>
      </c>
      <c r="G84" s="216">
        <v>27</v>
      </c>
      <c r="H84" s="216" t="s">
        <v>184</v>
      </c>
      <c r="I84" s="216" t="s">
        <v>184</v>
      </c>
      <c r="J84">
        <f t="shared" si="1"/>
        <v>32</v>
      </c>
    </row>
    <row r="85" spans="1:10" x14ac:dyDescent="0.25">
      <c r="A85" s="216">
        <v>17</v>
      </c>
      <c r="B85" s="216" t="s">
        <v>204</v>
      </c>
      <c r="C85" s="216">
        <v>12</v>
      </c>
      <c r="D85" s="216">
        <v>44.35</v>
      </c>
      <c r="E85" s="216">
        <v>43.65</v>
      </c>
      <c r="F85" s="216">
        <v>41</v>
      </c>
      <c r="G85" s="216">
        <v>20</v>
      </c>
      <c r="H85" s="216" t="s">
        <v>184</v>
      </c>
      <c r="I85" s="216" t="s">
        <v>184</v>
      </c>
      <c r="J85">
        <f t="shared" si="1"/>
        <v>33</v>
      </c>
    </row>
    <row r="86" spans="1:10" x14ac:dyDescent="0.25">
      <c r="A86" s="216">
        <v>17</v>
      </c>
      <c r="B86" s="216" t="s">
        <v>200</v>
      </c>
      <c r="C86" s="216">
        <v>29.700000000000003</v>
      </c>
      <c r="D86" s="216">
        <v>44.56</v>
      </c>
      <c r="E86" s="216">
        <v>25.740000000000002</v>
      </c>
      <c r="F86" s="216">
        <v>37</v>
      </c>
      <c r="G86" s="216">
        <v>18</v>
      </c>
      <c r="H86" s="216">
        <v>0.92</v>
      </c>
      <c r="I86" s="216">
        <v>53</v>
      </c>
      <c r="J86">
        <f t="shared" si="1"/>
        <v>34</v>
      </c>
    </row>
    <row r="87" spans="1:10" x14ac:dyDescent="0.25">
      <c r="A87" s="216">
        <v>18</v>
      </c>
      <c r="B87" s="216" t="s">
        <v>227</v>
      </c>
      <c r="C87" s="216">
        <v>6.5</v>
      </c>
      <c r="D87" s="216">
        <v>49.6</v>
      </c>
      <c r="E87" s="216">
        <v>43.9</v>
      </c>
      <c r="F87" s="216">
        <v>59</v>
      </c>
      <c r="G87" s="216">
        <v>28</v>
      </c>
      <c r="H87" s="216" t="s">
        <v>184</v>
      </c>
      <c r="I87" s="216" t="s">
        <v>184</v>
      </c>
      <c r="J87">
        <f t="shared" si="1"/>
        <v>35</v>
      </c>
    </row>
    <row r="88" spans="1:10" x14ac:dyDescent="0.25">
      <c r="A88" s="216">
        <v>19</v>
      </c>
      <c r="B88" s="216" t="s">
        <v>204</v>
      </c>
      <c r="C88" s="216">
        <v>12.700000000000001</v>
      </c>
      <c r="D88" s="216">
        <v>62.29</v>
      </c>
      <c r="E88" s="216">
        <v>25.02</v>
      </c>
      <c r="F88" s="216">
        <v>42</v>
      </c>
      <c r="G88" s="216">
        <v>17</v>
      </c>
      <c r="H88" s="216">
        <v>2.4</v>
      </c>
      <c r="I88" s="216">
        <v>15</v>
      </c>
      <c r="J88">
        <f t="shared" si="1"/>
        <v>36</v>
      </c>
    </row>
    <row r="89" spans="1:10" x14ac:dyDescent="0.25">
      <c r="A89" s="216">
        <v>20</v>
      </c>
      <c r="B89" s="216" t="s">
        <v>205</v>
      </c>
      <c r="C89" s="216">
        <v>4.4000000000000004</v>
      </c>
      <c r="D89" s="216">
        <v>45.54</v>
      </c>
      <c r="E89" s="216">
        <v>50.06</v>
      </c>
      <c r="F89" s="216">
        <v>53</v>
      </c>
      <c r="G89" s="216">
        <v>26</v>
      </c>
      <c r="H89" s="216" t="s">
        <v>184</v>
      </c>
      <c r="I89" s="216" t="s">
        <v>184</v>
      </c>
      <c r="J89">
        <f t="shared" si="1"/>
        <v>37</v>
      </c>
    </row>
    <row r="90" spans="1:10" x14ac:dyDescent="0.25">
      <c r="A90" s="216">
        <v>21</v>
      </c>
      <c r="B90" s="216" t="s">
        <v>223</v>
      </c>
      <c r="C90" s="216">
        <v>10.700000000000001</v>
      </c>
      <c r="D90" s="216">
        <v>46.06</v>
      </c>
      <c r="E90" s="216">
        <v>43.24</v>
      </c>
      <c r="F90" s="216">
        <v>43</v>
      </c>
      <c r="G90" s="216">
        <v>23</v>
      </c>
      <c r="H90" s="216" t="s">
        <v>184</v>
      </c>
      <c r="I90" s="216" t="s">
        <v>184</v>
      </c>
      <c r="J90">
        <f t="shared" si="1"/>
        <v>38</v>
      </c>
    </row>
    <row r="91" spans="1:10" x14ac:dyDescent="0.25">
      <c r="A91" s="216">
        <v>22</v>
      </c>
      <c r="B91" s="216" t="s">
        <v>146</v>
      </c>
      <c r="C91" s="216">
        <v>31.599999999999998</v>
      </c>
      <c r="D91" s="216">
        <v>45.13</v>
      </c>
      <c r="E91" s="216">
        <v>23.27</v>
      </c>
      <c r="F91" s="216">
        <v>31</v>
      </c>
      <c r="G91" s="216">
        <v>19</v>
      </c>
      <c r="H91" s="216" t="s">
        <v>184</v>
      </c>
      <c r="I91" s="216" t="s">
        <v>184</v>
      </c>
      <c r="J91">
        <f t="shared" si="1"/>
        <v>39</v>
      </c>
    </row>
    <row r="92" spans="1:10" x14ac:dyDescent="0.25">
      <c r="A92" s="216">
        <v>24</v>
      </c>
      <c r="B92" s="216" t="s">
        <v>204</v>
      </c>
      <c r="C92" s="216">
        <v>3.4</v>
      </c>
      <c r="D92" s="216">
        <v>45.2</v>
      </c>
      <c r="E92" s="216">
        <v>51.4</v>
      </c>
      <c r="F92" s="216">
        <v>46</v>
      </c>
      <c r="G92" s="216">
        <v>25</v>
      </c>
      <c r="H92" s="216" t="s">
        <v>184</v>
      </c>
      <c r="I92" s="216" t="s">
        <v>184</v>
      </c>
      <c r="J92">
        <f t="shared" si="1"/>
        <v>40</v>
      </c>
    </row>
    <row r="93" spans="1:10" x14ac:dyDescent="0.25">
      <c r="A93" s="216">
        <v>24</v>
      </c>
      <c r="B93" s="216" t="s">
        <v>227</v>
      </c>
      <c r="C93" s="216">
        <v>2.2000000000000002</v>
      </c>
      <c r="D93" s="216">
        <v>56.58</v>
      </c>
      <c r="E93" s="216">
        <v>41.22</v>
      </c>
      <c r="F93" s="216">
        <v>43</v>
      </c>
      <c r="G93" s="216">
        <v>24</v>
      </c>
      <c r="H93" s="216" t="s">
        <v>184</v>
      </c>
      <c r="I93" s="216" t="s">
        <v>184</v>
      </c>
      <c r="J93">
        <f t="shared" si="1"/>
        <v>41</v>
      </c>
    </row>
    <row r="94" spans="1:10" x14ac:dyDescent="0.25">
      <c r="A94" s="216">
        <v>26</v>
      </c>
      <c r="B94" s="216" t="s">
        <v>229</v>
      </c>
      <c r="C94" s="216">
        <v>15.299999999999999</v>
      </c>
      <c r="D94" s="216">
        <v>52.24</v>
      </c>
      <c r="E94" s="216">
        <v>32.450000000000003</v>
      </c>
      <c r="F94" s="216">
        <v>49</v>
      </c>
      <c r="G94" s="216">
        <v>24</v>
      </c>
      <c r="H94" s="216" t="s">
        <v>184</v>
      </c>
      <c r="I94" s="216" t="s">
        <v>184</v>
      </c>
      <c r="J94">
        <f t="shared" si="1"/>
        <v>42</v>
      </c>
    </row>
    <row r="95" spans="1:10" x14ac:dyDescent="0.25">
      <c r="A95" s="216">
        <v>28</v>
      </c>
      <c r="B95" s="216" t="s">
        <v>204</v>
      </c>
      <c r="C95" s="216">
        <v>1.5</v>
      </c>
      <c r="D95" s="216">
        <v>48.03</v>
      </c>
      <c r="E95" s="216">
        <v>50.47</v>
      </c>
      <c r="F95" s="216">
        <v>44</v>
      </c>
      <c r="G95" s="216">
        <v>26</v>
      </c>
      <c r="H95" s="216" t="s">
        <v>184</v>
      </c>
      <c r="I95" s="216" t="s">
        <v>184</v>
      </c>
      <c r="J95">
        <f t="shared" si="1"/>
        <v>43</v>
      </c>
    </row>
    <row r="96" spans="1:10" x14ac:dyDescent="0.25">
      <c r="A96" s="216">
        <v>29</v>
      </c>
      <c r="B96" s="216" t="s">
        <v>204</v>
      </c>
      <c r="C96" s="216">
        <v>20.700000000000003</v>
      </c>
      <c r="D96" s="216">
        <v>58.34</v>
      </c>
      <c r="E96" s="216">
        <v>20.96</v>
      </c>
      <c r="F96" s="216">
        <v>31</v>
      </c>
      <c r="G96" s="216">
        <v>20</v>
      </c>
      <c r="H96" s="216">
        <v>2.77</v>
      </c>
      <c r="I96" s="216">
        <v>52</v>
      </c>
      <c r="J96">
        <f t="shared" si="1"/>
        <v>44</v>
      </c>
    </row>
    <row r="97" spans="1:10" x14ac:dyDescent="0.25">
      <c r="A97" s="216"/>
      <c r="B97" s="216"/>
      <c r="C97" s="216"/>
      <c r="D97" s="216"/>
      <c r="E97" s="216"/>
      <c r="F97" s="216"/>
      <c r="G97" s="216"/>
      <c r="H97" s="216"/>
      <c r="I97" s="216"/>
      <c r="J97">
        <f t="shared" si="1"/>
        <v>45</v>
      </c>
    </row>
    <row r="98" spans="1:10" x14ac:dyDescent="0.25">
      <c r="A98" s="216"/>
      <c r="B98" s="216"/>
      <c r="C98" s="216"/>
      <c r="D98" s="216"/>
      <c r="E98" s="216"/>
      <c r="F98" s="216"/>
      <c r="G98" s="216"/>
      <c r="H98" s="216"/>
      <c r="I98" s="216"/>
      <c r="J98">
        <f t="shared" si="1"/>
        <v>46</v>
      </c>
    </row>
    <row r="99" spans="1:10" x14ac:dyDescent="0.25">
      <c r="A99" s="216"/>
      <c r="B99" s="216"/>
      <c r="C99" s="216"/>
      <c r="D99" s="216"/>
      <c r="E99" s="216"/>
      <c r="F99" s="216"/>
      <c r="G99" s="216"/>
      <c r="H99" s="216"/>
      <c r="I99" s="216"/>
      <c r="J99">
        <f t="shared" si="1"/>
        <v>47</v>
      </c>
    </row>
    <row r="100" spans="1:10" x14ac:dyDescent="0.25">
      <c r="A100" s="216"/>
      <c r="B100" s="216"/>
      <c r="C100" s="216"/>
      <c r="D100" s="216"/>
      <c r="E100" s="216"/>
      <c r="F100" s="216"/>
      <c r="G100" s="216"/>
      <c r="H100" s="216"/>
      <c r="I100" s="216"/>
      <c r="J100">
        <f t="shared" si="1"/>
        <v>48</v>
      </c>
    </row>
    <row r="101" spans="1:10" x14ac:dyDescent="0.25">
      <c r="A101" s="216"/>
      <c r="B101" s="216"/>
      <c r="C101" s="216"/>
      <c r="D101" s="216"/>
      <c r="E101" s="216"/>
      <c r="F101" s="216"/>
      <c r="G101" s="216"/>
      <c r="H101" s="216"/>
      <c r="I101" s="216"/>
      <c r="J101">
        <f t="shared" si="1"/>
        <v>49</v>
      </c>
    </row>
    <row r="102" spans="1:10" x14ac:dyDescent="0.25">
      <c r="A102" s="216"/>
      <c r="B102" s="216"/>
      <c r="C102" s="216"/>
      <c r="D102" s="216"/>
      <c r="E102" s="216"/>
      <c r="F102" s="216"/>
      <c r="G102" s="216"/>
      <c r="H102" s="216"/>
      <c r="I102" s="216"/>
      <c r="J102">
        <f t="shared" si="1"/>
        <v>50</v>
      </c>
    </row>
    <row r="103" spans="1:10" x14ac:dyDescent="0.25">
      <c r="A103" s="216"/>
      <c r="B103" s="216"/>
      <c r="C103" s="216"/>
      <c r="D103" s="216"/>
      <c r="E103" s="216"/>
      <c r="F103" s="216"/>
      <c r="G103" s="216"/>
      <c r="H103" s="216"/>
      <c r="I103" s="216"/>
      <c r="J103">
        <f t="shared" si="1"/>
        <v>51</v>
      </c>
    </row>
    <row r="104" spans="1:10" x14ac:dyDescent="0.25">
      <c r="A104" s="216"/>
      <c r="B104" s="216"/>
      <c r="C104" s="216"/>
      <c r="D104" s="216"/>
      <c r="E104" s="216"/>
      <c r="F104" s="216"/>
      <c r="G104" s="216"/>
      <c r="H104" s="216"/>
      <c r="I104" s="216"/>
      <c r="J104">
        <f t="shared" si="1"/>
        <v>52</v>
      </c>
    </row>
    <row r="105" spans="1:10" x14ac:dyDescent="0.25">
      <c r="A105" s="216"/>
      <c r="B105" s="216"/>
      <c r="C105" s="216"/>
      <c r="D105" s="216"/>
      <c r="E105" s="216"/>
      <c r="F105" s="216"/>
      <c r="G105" s="216"/>
      <c r="H105" s="216"/>
      <c r="I105" s="216"/>
      <c r="J105">
        <f t="shared" si="1"/>
        <v>53</v>
      </c>
    </row>
    <row r="106" spans="1:10" x14ac:dyDescent="0.25">
      <c r="A106" s="216"/>
      <c r="B106" s="216"/>
      <c r="C106" s="216"/>
      <c r="D106" s="216"/>
      <c r="E106" s="216"/>
      <c r="F106" s="216"/>
      <c r="G106" s="216"/>
      <c r="H106" s="216"/>
      <c r="I106" s="216"/>
      <c r="J106">
        <f t="shared" si="1"/>
        <v>54</v>
      </c>
    </row>
    <row r="107" spans="1:10" x14ac:dyDescent="0.25">
      <c r="A107" s="216"/>
      <c r="B107" s="216"/>
      <c r="C107" s="216"/>
      <c r="D107" s="216"/>
      <c r="E107" s="216"/>
      <c r="F107" s="216"/>
      <c r="G107" s="216"/>
      <c r="H107" s="216"/>
      <c r="I107" s="216"/>
      <c r="J107">
        <f t="shared" si="1"/>
        <v>55</v>
      </c>
    </row>
    <row r="108" spans="1:10" x14ac:dyDescent="0.25">
      <c r="A108" s="216"/>
      <c r="B108" s="216"/>
      <c r="C108" s="216"/>
      <c r="D108" s="216"/>
      <c r="E108" s="216"/>
      <c r="F108" s="216"/>
      <c r="G108" s="216"/>
      <c r="H108" s="216"/>
      <c r="I108" s="216"/>
      <c r="J108">
        <f t="shared" si="1"/>
        <v>56</v>
      </c>
    </row>
    <row r="109" spans="1:10" x14ac:dyDescent="0.25">
      <c r="A109" s="216"/>
      <c r="B109" s="216"/>
      <c r="C109" s="216"/>
      <c r="D109" s="216"/>
      <c r="E109" s="216"/>
      <c r="F109" s="216"/>
      <c r="G109" s="216"/>
      <c r="H109" s="216"/>
      <c r="I109" s="216"/>
      <c r="J109">
        <f t="shared" si="1"/>
        <v>57</v>
      </c>
    </row>
    <row r="110" spans="1:10" x14ac:dyDescent="0.25">
      <c r="A110" s="216"/>
      <c r="B110" s="216"/>
      <c r="C110" s="216"/>
      <c r="D110" s="216"/>
      <c r="E110" s="216"/>
      <c r="F110" s="216"/>
      <c r="G110" s="216"/>
      <c r="H110" s="216"/>
      <c r="I110" s="216"/>
      <c r="J110">
        <f t="shared" si="1"/>
        <v>58</v>
      </c>
    </row>
    <row r="111" spans="1:10" x14ac:dyDescent="0.25">
      <c r="A111" s="216"/>
      <c r="B111" s="216"/>
      <c r="C111" s="216"/>
      <c r="D111" s="216"/>
      <c r="E111" s="216"/>
      <c r="F111" s="216"/>
      <c r="G111" s="216"/>
      <c r="H111" s="216"/>
      <c r="I111" s="216"/>
      <c r="J111">
        <f t="shared" si="1"/>
        <v>59</v>
      </c>
    </row>
    <row r="112" spans="1:10" x14ac:dyDescent="0.25">
      <c r="A112" s="216"/>
      <c r="B112" s="216"/>
      <c r="C112" s="216"/>
      <c r="D112" s="216"/>
      <c r="E112" s="216"/>
      <c r="F112" s="216"/>
      <c r="G112" s="216"/>
      <c r="H112" s="216"/>
      <c r="I112" s="216"/>
      <c r="J112">
        <f t="shared" si="1"/>
        <v>60</v>
      </c>
    </row>
    <row r="113" spans="1:10" x14ac:dyDescent="0.25">
      <c r="A113" s="216"/>
      <c r="B113" s="216"/>
      <c r="C113" s="216"/>
      <c r="D113" s="216"/>
      <c r="E113" s="216"/>
      <c r="F113" s="216"/>
      <c r="G113" s="216"/>
      <c r="H113" s="216"/>
      <c r="I113" s="216"/>
      <c r="J113">
        <f t="shared" si="1"/>
        <v>61</v>
      </c>
    </row>
    <row r="114" spans="1:10" x14ac:dyDescent="0.25">
      <c r="A114" s="216"/>
      <c r="B114" s="216"/>
      <c r="C114" s="216"/>
      <c r="D114" s="216"/>
      <c r="E114" s="216"/>
      <c r="F114" s="216"/>
      <c r="G114" s="216"/>
      <c r="H114" s="216"/>
      <c r="I114" s="216"/>
      <c r="J114">
        <f t="shared" si="1"/>
        <v>62</v>
      </c>
    </row>
    <row r="115" spans="1:10" x14ac:dyDescent="0.25">
      <c r="A115" s="216"/>
      <c r="B115" s="216"/>
      <c r="C115" s="216"/>
      <c r="D115" s="216"/>
      <c r="E115" s="216"/>
      <c r="F115" s="216"/>
      <c r="G115" s="216"/>
      <c r="H115" s="216"/>
      <c r="I115" s="216"/>
      <c r="J115">
        <f t="shared" si="1"/>
        <v>63</v>
      </c>
    </row>
    <row r="116" spans="1:10" x14ac:dyDescent="0.25">
      <c r="A116" s="216"/>
      <c r="B116" s="216"/>
      <c r="C116" s="216"/>
      <c r="D116" s="216"/>
      <c r="E116" s="216"/>
      <c r="F116" s="216"/>
      <c r="G116" s="216"/>
      <c r="H116" s="216"/>
      <c r="I116" s="216"/>
      <c r="J116">
        <f t="shared" si="1"/>
        <v>64</v>
      </c>
    </row>
    <row r="117" spans="1:10" x14ac:dyDescent="0.25">
      <c r="A117" s="216"/>
      <c r="B117" s="216"/>
      <c r="C117" s="216"/>
      <c r="D117" s="216"/>
      <c r="E117" s="216"/>
      <c r="F117" s="216"/>
      <c r="G117" s="216"/>
      <c r="H117" s="216"/>
      <c r="I117" s="216"/>
      <c r="J117">
        <f t="shared" si="1"/>
        <v>65</v>
      </c>
    </row>
    <row r="118" spans="1:10" x14ac:dyDescent="0.25">
      <c r="A118" s="216"/>
      <c r="B118" s="216"/>
      <c r="C118" s="216"/>
      <c r="D118" s="216"/>
      <c r="E118" s="216"/>
      <c r="F118" s="216"/>
      <c r="G118" s="216"/>
      <c r="H118" s="216"/>
      <c r="I118" s="216"/>
      <c r="J118">
        <f t="shared" si="1"/>
        <v>66</v>
      </c>
    </row>
    <row r="119" spans="1:10" x14ac:dyDescent="0.25">
      <c r="A119" s="216"/>
      <c r="B119" s="216"/>
      <c r="C119" s="216"/>
      <c r="D119" s="216"/>
      <c r="E119" s="216"/>
      <c r="F119" s="216"/>
      <c r="G119" s="216"/>
      <c r="H119" s="216"/>
      <c r="I119" s="216"/>
      <c r="J119">
        <f t="shared" si="1"/>
        <v>67</v>
      </c>
    </row>
    <row r="120" spans="1:10" x14ac:dyDescent="0.25">
      <c r="A120" s="216"/>
      <c r="B120" s="216"/>
      <c r="C120" s="216"/>
      <c r="D120" s="216"/>
      <c r="E120" s="216"/>
      <c r="F120" s="216"/>
      <c r="G120" s="216"/>
      <c r="H120" s="216"/>
      <c r="I120" s="216"/>
      <c r="J120">
        <f t="shared" si="1"/>
        <v>68</v>
      </c>
    </row>
    <row r="121" spans="1:10" x14ac:dyDescent="0.25">
      <c r="A121" s="216"/>
      <c r="B121" s="216"/>
      <c r="C121" s="216"/>
      <c r="D121" s="216"/>
      <c r="E121" s="216"/>
      <c r="F121" s="216"/>
      <c r="G121" s="216"/>
      <c r="H121" s="216"/>
      <c r="I121" s="216"/>
      <c r="J121">
        <f t="shared" si="1"/>
        <v>69</v>
      </c>
    </row>
    <row r="122" spans="1:10" x14ac:dyDescent="0.25">
      <c r="A122" s="216"/>
      <c r="B122" s="216"/>
      <c r="C122" s="216"/>
      <c r="D122" s="216"/>
      <c r="E122" s="216"/>
      <c r="F122" s="216"/>
      <c r="G122" s="216"/>
      <c r="H122" s="216"/>
      <c r="I122" s="216"/>
      <c r="J122">
        <f t="shared" si="1"/>
        <v>70</v>
      </c>
    </row>
    <row r="123" spans="1:10" x14ac:dyDescent="0.25">
      <c r="A123" s="216"/>
      <c r="B123" s="216"/>
      <c r="C123" s="216"/>
      <c r="D123" s="216"/>
      <c r="E123" s="216"/>
      <c r="F123" s="216"/>
      <c r="G123" s="216"/>
      <c r="H123" s="216"/>
      <c r="I123" s="216"/>
      <c r="J123">
        <f t="shared" si="1"/>
        <v>71</v>
      </c>
    </row>
    <row r="124" spans="1:10" x14ac:dyDescent="0.25">
      <c r="A124" s="216"/>
      <c r="B124" s="216"/>
      <c r="C124" s="216"/>
      <c r="D124" s="216"/>
      <c r="E124" s="216"/>
      <c r="F124" s="216"/>
      <c r="G124" s="216"/>
      <c r="H124" s="216"/>
      <c r="I124" s="216"/>
      <c r="J124">
        <f t="shared" si="1"/>
        <v>72</v>
      </c>
    </row>
    <row r="125" spans="1:10" x14ac:dyDescent="0.25">
      <c r="A125" s="216"/>
      <c r="B125" s="216"/>
      <c r="C125" s="216"/>
      <c r="D125" s="216"/>
      <c r="E125" s="216"/>
      <c r="F125" s="216"/>
      <c r="G125" s="216"/>
      <c r="H125" s="216"/>
      <c r="I125" s="216"/>
      <c r="J125">
        <f t="shared" si="1"/>
        <v>73</v>
      </c>
    </row>
    <row r="126" spans="1:10" x14ac:dyDescent="0.25">
      <c r="A126" s="216"/>
      <c r="B126" s="216"/>
      <c r="C126" s="216"/>
      <c r="D126" s="216"/>
      <c r="E126" s="216"/>
      <c r="F126" s="216"/>
      <c r="G126" s="216"/>
      <c r="H126" s="216"/>
      <c r="I126" s="216"/>
      <c r="J126">
        <f t="shared" si="1"/>
        <v>74</v>
      </c>
    </row>
    <row r="127" spans="1:10" x14ac:dyDescent="0.25">
      <c r="A127" s="216"/>
      <c r="B127" s="216"/>
      <c r="C127" s="216"/>
      <c r="D127" s="216"/>
      <c r="E127" s="216"/>
      <c r="F127" s="216"/>
      <c r="G127" s="216"/>
      <c r="H127" s="216"/>
      <c r="I127" s="216"/>
      <c r="J127">
        <f t="shared" si="1"/>
        <v>75</v>
      </c>
    </row>
    <row r="128" spans="1:10" x14ac:dyDescent="0.25">
      <c r="A128" s="216"/>
      <c r="B128" s="216"/>
      <c r="C128" s="216"/>
      <c r="D128" s="216"/>
      <c r="E128" s="216"/>
      <c r="F128" s="216"/>
      <c r="G128" s="216"/>
      <c r="H128" s="216"/>
      <c r="I128" s="216"/>
      <c r="J128">
        <f t="shared" si="1"/>
        <v>76</v>
      </c>
    </row>
    <row r="129" spans="1:10" x14ac:dyDescent="0.25">
      <c r="A129" s="216"/>
      <c r="B129" s="216"/>
      <c r="C129" s="216"/>
      <c r="D129" s="216"/>
      <c r="E129" s="216"/>
      <c r="F129" s="216"/>
      <c r="G129" s="216"/>
      <c r="H129" s="216"/>
      <c r="I129" s="216"/>
      <c r="J129">
        <f t="shared" si="1"/>
        <v>77</v>
      </c>
    </row>
    <row r="130" spans="1:10" x14ac:dyDescent="0.25">
      <c r="A130" s="216"/>
      <c r="B130" s="216"/>
      <c r="C130" s="216"/>
      <c r="D130" s="216"/>
      <c r="E130" s="216"/>
      <c r="F130" s="216"/>
      <c r="G130" s="216"/>
      <c r="H130" s="216"/>
      <c r="I130" s="216"/>
      <c r="J130">
        <f t="shared" si="1"/>
        <v>78</v>
      </c>
    </row>
    <row r="131" spans="1:10" x14ac:dyDescent="0.25">
      <c r="A131" s="216"/>
      <c r="B131" s="216"/>
      <c r="C131" s="216"/>
      <c r="D131" s="216"/>
      <c r="E131" s="216"/>
      <c r="F131" s="216"/>
      <c r="G131" s="216"/>
      <c r="H131" s="216"/>
      <c r="I131" s="216"/>
      <c r="J131">
        <f t="shared" si="1"/>
        <v>79</v>
      </c>
    </row>
    <row r="132" spans="1:10" x14ac:dyDescent="0.25">
      <c r="A132" s="216"/>
      <c r="B132" s="216"/>
      <c r="C132" s="216"/>
      <c r="D132" s="216"/>
      <c r="E132" s="216"/>
      <c r="F132" s="216"/>
      <c r="G132" s="216"/>
      <c r="H132" s="216"/>
      <c r="I132" s="216"/>
      <c r="J132">
        <f t="shared" ref="J132:J195" si="2">J131+1</f>
        <v>80</v>
      </c>
    </row>
    <row r="133" spans="1:10" x14ac:dyDescent="0.25">
      <c r="A133" s="216"/>
      <c r="B133" s="216"/>
      <c r="C133" s="216"/>
      <c r="D133" s="216"/>
      <c r="E133" s="216"/>
      <c r="F133" s="216"/>
      <c r="G133" s="216"/>
      <c r="H133" s="216"/>
      <c r="I133" s="216"/>
      <c r="J133">
        <f t="shared" si="2"/>
        <v>81</v>
      </c>
    </row>
    <row r="134" spans="1:10" x14ac:dyDescent="0.25">
      <c r="A134" s="216"/>
      <c r="B134" s="216"/>
      <c r="C134" s="216"/>
      <c r="D134" s="216"/>
      <c r="E134" s="216"/>
      <c r="F134" s="216"/>
      <c r="G134" s="216"/>
      <c r="H134" s="216"/>
      <c r="I134" s="216"/>
      <c r="J134">
        <f t="shared" si="2"/>
        <v>82</v>
      </c>
    </row>
    <row r="135" spans="1:10" x14ac:dyDescent="0.25">
      <c r="A135" s="216"/>
      <c r="B135" s="216"/>
      <c r="C135" s="216"/>
      <c r="D135" s="216"/>
      <c r="E135" s="216"/>
      <c r="F135" s="216"/>
      <c r="G135" s="216"/>
      <c r="H135" s="216"/>
      <c r="I135" s="216"/>
      <c r="J135">
        <f t="shared" si="2"/>
        <v>83</v>
      </c>
    </row>
    <row r="136" spans="1:10" x14ac:dyDescent="0.25">
      <c r="A136" s="216"/>
      <c r="B136" s="216"/>
      <c r="C136" s="216"/>
      <c r="D136" s="216"/>
      <c r="E136" s="216"/>
      <c r="F136" s="216"/>
      <c r="G136" s="216"/>
      <c r="H136" s="216"/>
      <c r="I136" s="216"/>
      <c r="J136">
        <f t="shared" si="2"/>
        <v>84</v>
      </c>
    </row>
    <row r="137" spans="1:10" x14ac:dyDescent="0.25">
      <c r="A137" s="216"/>
      <c r="B137" s="216"/>
      <c r="C137" s="216"/>
      <c r="D137" s="216"/>
      <c r="E137" s="216"/>
      <c r="F137" s="216"/>
      <c r="G137" s="216"/>
      <c r="H137" s="216"/>
      <c r="I137" s="216"/>
      <c r="J137">
        <f t="shared" si="2"/>
        <v>85</v>
      </c>
    </row>
    <row r="138" spans="1:10" x14ac:dyDescent="0.25">
      <c r="A138" s="216"/>
      <c r="B138" s="216"/>
      <c r="C138" s="216"/>
      <c r="D138" s="216"/>
      <c r="E138" s="216"/>
      <c r="F138" s="216"/>
      <c r="G138" s="216"/>
      <c r="H138" s="216"/>
      <c r="I138" s="216"/>
      <c r="J138">
        <f t="shared" si="2"/>
        <v>86</v>
      </c>
    </row>
    <row r="139" spans="1:10" x14ac:dyDescent="0.25">
      <c r="A139" s="216"/>
      <c r="B139" s="216"/>
      <c r="C139" s="216"/>
      <c r="D139" s="216"/>
      <c r="E139" s="216"/>
      <c r="F139" s="216"/>
      <c r="G139" s="216"/>
      <c r="H139" s="216"/>
      <c r="I139" s="216"/>
      <c r="J139">
        <f t="shared" si="2"/>
        <v>87</v>
      </c>
    </row>
    <row r="140" spans="1:10" x14ac:dyDescent="0.25">
      <c r="A140" s="216"/>
      <c r="B140" s="216"/>
      <c r="C140" s="216"/>
      <c r="D140" s="216"/>
      <c r="E140" s="216"/>
      <c r="F140" s="216"/>
      <c r="G140" s="216"/>
      <c r="H140" s="216"/>
      <c r="I140" s="216"/>
      <c r="J140">
        <f t="shared" si="2"/>
        <v>88</v>
      </c>
    </row>
    <row r="141" spans="1:10" x14ac:dyDescent="0.25">
      <c r="A141" s="216"/>
      <c r="B141" s="216"/>
      <c r="C141" s="216"/>
      <c r="D141" s="216"/>
      <c r="E141" s="216"/>
      <c r="F141" s="216"/>
      <c r="G141" s="216"/>
      <c r="H141" s="216"/>
      <c r="I141" s="216"/>
      <c r="J141">
        <f t="shared" si="2"/>
        <v>89</v>
      </c>
    </row>
    <row r="142" spans="1:10" x14ac:dyDescent="0.25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90</v>
      </c>
    </row>
    <row r="143" spans="1:10" x14ac:dyDescent="0.25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91</v>
      </c>
    </row>
    <row r="144" spans="1:10" x14ac:dyDescent="0.25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92</v>
      </c>
    </row>
    <row r="145" spans="1:10" x14ac:dyDescent="0.25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93</v>
      </c>
    </row>
    <row r="146" spans="1:10" x14ac:dyDescent="0.25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94</v>
      </c>
    </row>
    <row r="147" spans="1:10" x14ac:dyDescent="0.25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95</v>
      </c>
    </row>
    <row r="148" spans="1:10" x14ac:dyDescent="0.25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96</v>
      </c>
    </row>
    <row r="149" spans="1:10" x14ac:dyDescent="0.25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97</v>
      </c>
    </row>
    <row r="150" spans="1:10" x14ac:dyDescent="0.25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98</v>
      </c>
    </row>
    <row r="151" spans="1:10" x14ac:dyDescent="0.25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99</v>
      </c>
    </row>
    <row r="152" spans="1:10" x14ac:dyDescent="0.25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100</v>
      </c>
    </row>
    <row r="153" spans="1:10" x14ac:dyDescent="0.25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101</v>
      </c>
    </row>
    <row r="154" spans="1:10" x14ac:dyDescent="0.25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102</v>
      </c>
    </row>
    <row r="155" spans="1:10" x14ac:dyDescent="0.25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103</v>
      </c>
    </row>
    <row r="156" spans="1:10" x14ac:dyDescent="0.25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104</v>
      </c>
    </row>
    <row r="157" spans="1:10" x14ac:dyDescent="0.25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105</v>
      </c>
    </row>
    <row r="158" spans="1:10" x14ac:dyDescent="0.25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106</v>
      </c>
    </row>
    <row r="159" spans="1:10" x14ac:dyDescent="0.25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107</v>
      </c>
    </row>
    <row r="160" spans="1:10" x14ac:dyDescent="0.25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108</v>
      </c>
    </row>
    <row r="161" spans="1:10" x14ac:dyDescent="0.25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109</v>
      </c>
    </row>
    <row r="162" spans="1:10" x14ac:dyDescent="0.25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110</v>
      </c>
    </row>
    <row r="163" spans="1:10" x14ac:dyDescent="0.25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111</v>
      </c>
    </row>
    <row r="164" spans="1:10" x14ac:dyDescent="0.25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112</v>
      </c>
    </row>
    <row r="165" spans="1:10" x14ac:dyDescent="0.25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113</v>
      </c>
    </row>
    <row r="166" spans="1:10" x14ac:dyDescent="0.25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114</v>
      </c>
    </row>
    <row r="167" spans="1:10" x14ac:dyDescent="0.25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115</v>
      </c>
    </row>
    <row r="168" spans="1:10" x14ac:dyDescent="0.25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116</v>
      </c>
    </row>
    <row r="169" spans="1:10" x14ac:dyDescent="0.25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117</v>
      </c>
    </row>
    <row r="170" spans="1:10" x14ac:dyDescent="0.25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118</v>
      </c>
    </row>
    <row r="171" spans="1:10" x14ac:dyDescent="0.25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119</v>
      </c>
    </row>
    <row r="172" spans="1:10" x14ac:dyDescent="0.25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120</v>
      </c>
    </row>
    <row r="173" spans="1:10" x14ac:dyDescent="0.25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121</v>
      </c>
    </row>
    <row r="174" spans="1:10" x14ac:dyDescent="0.25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122</v>
      </c>
    </row>
    <row r="175" spans="1:10" x14ac:dyDescent="0.25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123</v>
      </c>
    </row>
    <row r="176" spans="1:10" x14ac:dyDescent="0.25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124</v>
      </c>
    </row>
    <row r="177" spans="1:10" x14ac:dyDescent="0.25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125</v>
      </c>
    </row>
    <row r="178" spans="1:10" x14ac:dyDescent="0.25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126</v>
      </c>
    </row>
    <row r="179" spans="1:10" x14ac:dyDescent="0.25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127</v>
      </c>
    </row>
    <row r="180" spans="1:10" x14ac:dyDescent="0.25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128</v>
      </c>
    </row>
    <row r="181" spans="1:10" x14ac:dyDescent="0.25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129</v>
      </c>
    </row>
    <row r="182" spans="1:10" x14ac:dyDescent="0.25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130</v>
      </c>
    </row>
    <row r="183" spans="1:10" x14ac:dyDescent="0.25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131</v>
      </c>
    </row>
    <row r="184" spans="1:10" x14ac:dyDescent="0.25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132</v>
      </c>
    </row>
    <row r="185" spans="1:10" x14ac:dyDescent="0.25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133</v>
      </c>
    </row>
    <row r="186" spans="1:10" x14ac:dyDescent="0.25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134</v>
      </c>
    </row>
    <row r="187" spans="1:10" x14ac:dyDescent="0.25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135</v>
      </c>
    </row>
    <row r="188" spans="1:10" x14ac:dyDescent="0.25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136</v>
      </c>
    </row>
    <row r="189" spans="1:10" x14ac:dyDescent="0.25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137</v>
      </c>
    </row>
    <row r="190" spans="1:10" x14ac:dyDescent="0.25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138</v>
      </c>
    </row>
    <row r="191" spans="1:10" x14ac:dyDescent="0.25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139</v>
      </c>
    </row>
    <row r="192" spans="1:10" x14ac:dyDescent="0.25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140</v>
      </c>
    </row>
    <row r="193" spans="1:10" x14ac:dyDescent="0.25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141</v>
      </c>
    </row>
    <row r="194" spans="1:10" x14ac:dyDescent="0.25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142</v>
      </c>
    </row>
    <row r="195" spans="1:10" x14ac:dyDescent="0.25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143</v>
      </c>
    </row>
    <row r="196" spans="1:10" x14ac:dyDescent="0.25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144</v>
      </c>
    </row>
    <row r="197" spans="1:10" x14ac:dyDescent="0.25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145</v>
      </c>
    </row>
    <row r="198" spans="1:10" x14ac:dyDescent="0.25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146</v>
      </c>
    </row>
    <row r="199" spans="1:10" x14ac:dyDescent="0.25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147</v>
      </c>
    </row>
    <row r="200" spans="1:10" x14ac:dyDescent="0.25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148</v>
      </c>
    </row>
    <row r="201" spans="1:10" x14ac:dyDescent="0.25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149</v>
      </c>
    </row>
    <row r="202" spans="1:10" x14ac:dyDescent="0.25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150</v>
      </c>
    </row>
    <row r="203" spans="1:10" x14ac:dyDescent="0.25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151</v>
      </c>
    </row>
    <row r="204" spans="1:10" x14ac:dyDescent="0.25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152</v>
      </c>
    </row>
    <row r="205" spans="1:10" x14ac:dyDescent="0.25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153</v>
      </c>
    </row>
    <row r="206" spans="1:10" x14ac:dyDescent="0.25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154</v>
      </c>
    </row>
    <row r="207" spans="1:10" x14ac:dyDescent="0.25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155</v>
      </c>
    </row>
    <row r="208" spans="1:10" x14ac:dyDescent="0.25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156</v>
      </c>
    </row>
    <row r="209" spans="1:10" x14ac:dyDescent="0.25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157</v>
      </c>
    </row>
    <row r="210" spans="1:10" x14ac:dyDescent="0.25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158</v>
      </c>
    </row>
    <row r="211" spans="1:10" x14ac:dyDescent="0.25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159</v>
      </c>
    </row>
    <row r="212" spans="1:10" x14ac:dyDescent="0.25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160</v>
      </c>
    </row>
    <row r="213" spans="1:10" x14ac:dyDescent="0.25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161</v>
      </c>
    </row>
    <row r="214" spans="1:10" x14ac:dyDescent="0.25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162</v>
      </c>
    </row>
    <row r="215" spans="1:10" x14ac:dyDescent="0.25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163</v>
      </c>
    </row>
    <row r="216" spans="1:10" x14ac:dyDescent="0.25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164</v>
      </c>
    </row>
    <row r="217" spans="1:10" x14ac:dyDescent="0.25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165</v>
      </c>
    </row>
    <row r="218" spans="1:10" x14ac:dyDescent="0.25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166</v>
      </c>
    </row>
    <row r="219" spans="1:10" x14ac:dyDescent="0.25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167</v>
      </c>
    </row>
    <row r="220" spans="1:10" x14ac:dyDescent="0.25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168</v>
      </c>
    </row>
    <row r="221" spans="1:10" x14ac:dyDescent="0.25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169</v>
      </c>
    </row>
    <row r="222" spans="1:10" x14ac:dyDescent="0.25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170</v>
      </c>
    </row>
    <row r="223" spans="1:10" x14ac:dyDescent="0.25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171</v>
      </c>
    </row>
    <row r="224" spans="1:10" x14ac:dyDescent="0.25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172</v>
      </c>
    </row>
    <row r="225" spans="1:10" x14ac:dyDescent="0.25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173</v>
      </c>
    </row>
    <row r="226" spans="1:10" x14ac:dyDescent="0.25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174</v>
      </c>
    </row>
    <row r="227" spans="1:10" x14ac:dyDescent="0.25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175</v>
      </c>
    </row>
    <row r="228" spans="1:10" x14ac:dyDescent="0.25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176</v>
      </c>
    </row>
    <row r="229" spans="1:10" x14ac:dyDescent="0.25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177</v>
      </c>
    </row>
    <row r="230" spans="1:10" x14ac:dyDescent="0.25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178</v>
      </c>
    </row>
    <row r="231" spans="1:10" x14ac:dyDescent="0.25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179</v>
      </c>
    </row>
    <row r="232" spans="1:10" x14ac:dyDescent="0.25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180</v>
      </c>
    </row>
    <row r="233" spans="1:10" x14ac:dyDescent="0.25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181</v>
      </c>
    </row>
    <row r="234" spans="1:10" x14ac:dyDescent="0.25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182</v>
      </c>
    </row>
    <row r="235" spans="1:10" x14ac:dyDescent="0.25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183</v>
      </c>
    </row>
    <row r="236" spans="1:10" x14ac:dyDescent="0.25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184</v>
      </c>
    </row>
    <row r="237" spans="1:10" x14ac:dyDescent="0.25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185</v>
      </c>
    </row>
    <row r="238" spans="1:10" x14ac:dyDescent="0.25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186</v>
      </c>
    </row>
    <row r="239" spans="1:10" x14ac:dyDescent="0.25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187</v>
      </c>
    </row>
    <row r="240" spans="1:10" x14ac:dyDescent="0.25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188</v>
      </c>
    </row>
    <row r="241" spans="1:10" x14ac:dyDescent="0.25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189</v>
      </c>
    </row>
    <row r="242" spans="1:10" x14ac:dyDescent="0.25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190</v>
      </c>
    </row>
    <row r="243" spans="1:10" x14ac:dyDescent="0.25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191</v>
      </c>
    </row>
    <row r="244" spans="1:10" x14ac:dyDescent="0.25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192</v>
      </c>
    </row>
    <row r="245" spans="1:10" x14ac:dyDescent="0.25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193</v>
      </c>
    </row>
    <row r="246" spans="1:10" x14ac:dyDescent="0.25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194</v>
      </c>
    </row>
    <row r="247" spans="1:10" x14ac:dyDescent="0.25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195</v>
      </c>
    </row>
    <row r="248" spans="1:10" x14ac:dyDescent="0.25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196</v>
      </c>
    </row>
    <row r="249" spans="1:10" x14ac:dyDescent="0.25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197</v>
      </c>
    </row>
    <row r="250" spans="1:10" x14ac:dyDescent="0.25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198</v>
      </c>
    </row>
    <row r="251" spans="1:10" x14ac:dyDescent="0.25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199</v>
      </c>
    </row>
    <row r="252" spans="1:10" x14ac:dyDescent="0.25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200</v>
      </c>
    </row>
    <row r="253" spans="1:10" x14ac:dyDescent="0.25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201</v>
      </c>
    </row>
    <row r="254" spans="1:10" x14ac:dyDescent="0.25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202</v>
      </c>
    </row>
    <row r="255" spans="1:10" x14ac:dyDescent="0.25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203</v>
      </c>
    </row>
    <row r="256" spans="1:10" x14ac:dyDescent="0.25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204</v>
      </c>
    </row>
    <row r="257" spans="1:10" x14ac:dyDescent="0.25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205</v>
      </c>
    </row>
    <row r="258" spans="1:10" x14ac:dyDescent="0.25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206</v>
      </c>
    </row>
    <row r="259" spans="1:10" x14ac:dyDescent="0.25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207</v>
      </c>
    </row>
    <row r="260" spans="1:10" x14ac:dyDescent="0.25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208</v>
      </c>
    </row>
    <row r="261" spans="1:10" x14ac:dyDescent="0.25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209</v>
      </c>
    </row>
    <row r="262" spans="1:10" x14ac:dyDescent="0.25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210</v>
      </c>
    </row>
    <row r="263" spans="1:10" x14ac:dyDescent="0.25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211</v>
      </c>
    </row>
    <row r="264" spans="1:10" x14ac:dyDescent="0.25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212</v>
      </c>
    </row>
    <row r="265" spans="1:10" x14ac:dyDescent="0.25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213</v>
      </c>
    </row>
    <row r="266" spans="1:10" x14ac:dyDescent="0.25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214</v>
      </c>
    </row>
    <row r="267" spans="1:10" x14ac:dyDescent="0.25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215</v>
      </c>
    </row>
    <row r="268" spans="1:10" x14ac:dyDescent="0.25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216</v>
      </c>
    </row>
    <row r="269" spans="1:10" x14ac:dyDescent="0.25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217</v>
      </c>
    </row>
    <row r="270" spans="1:10" x14ac:dyDescent="0.25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218</v>
      </c>
    </row>
    <row r="271" spans="1:10" x14ac:dyDescent="0.25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219</v>
      </c>
    </row>
    <row r="272" spans="1:10" x14ac:dyDescent="0.25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220</v>
      </c>
    </row>
    <row r="273" spans="1:10" x14ac:dyDescent="0.25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221</v>
      </c>
    </row>
    <row r="274" spans="1:10" x14ac:dyDescent="0.25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222</v>
      </c>
    </row>
    <row r="275" spans="1:10" x14ac:dyDescent="0.25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223</v>
      </c>
    </row>
    <row r="276" spans="1:10" x14ac:dyDescent="0.25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224</v>
      </c>
    </row>
    <row r="277" spans="1:10" x14ac:dyDescent="0.25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225</v>
      </c>
    </row>
    <row r="278" spans="1:10" x14ac:dyDescent="0.25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226</v>
      </c>
    </row>
    <row r="279" spans="1:10" x14ac:dyDescent="0.25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227</v>
      </c>
    </row>
    <row r="280" spans="1:10" x14ac:dyDescent="0.25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228</v>
      </c>
    </row>
    <row r="281" spans="1:10" x14ac:dyDescent="0.25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229</v>
      </c>
    </row>
    <row r="282" spans="1:10" x14ac:dyDescent="0.25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230</v>
      </c>
    </row>
    <row r="283" spans="1:10" x14ac:dyDescent="0.25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231</v>
      </c>
    </row>
    <row r="284" spans="1:10" x14ac:dyDescent="0.25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232</v>
      </c>
    </row>
    <row r="285" spans="1:10" x14ac:dyDescent="0.25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233</v>
      </c>
    </row>
    <row r="286" spans="1:10" x14ac:dyDescent="0.25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234</v>
      </c>
    </row>
    <row r="287" spans="1:10" x14ac:dyDescent="0.25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235</v>
      </c>
    </row>
    <row r="288" spans="1:10" x14ac:dyDescent="0.25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236</v>
      </c>
    </row>
    <row r="289" spans="1:10" x14ac:dyDescent="0.25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237</v>
      </c>
    </row>
    <row r="290" spans="1:10" x14ac:dyDescent="0.25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238</v>
      </c>
    </row>
    <row r="291" spans="1:10" x14ac:dyDescent="0.25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239</v>
      </c>
    </row>
    <row r="292" spans="1:10" x14ac:dyDescent="0.25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240</v>
      </c>
    </row>
    <row r="293" spans="1:10" x14ac:dyDescent="0.25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241</v>
      </c>
    </row>
    <row r="294" spans="1:10" x14ac:dyDescent="0.25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242</v>
      </c>
    </row>
    <row r="295" spans="1:10" x14ac:dyDescent="0.25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243</v>
      </c>
    </row>
    <row r="296" spans="1:10" x14ac:dyDescent="0.25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244</v>
      </c>
    </row>
    <row r="297" spans="1:10" x14ac:dyDescent="0.25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245</v>
      </c>
    </row>
    <row r="298" spans="1:10" x14ac:dyDescent="0.25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246</v>
      </c>
    </row>
    <row r="299" spans="1:10" x14ac:dyDescent="0.25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247</v>
      </c>
    </row>
    <row r="300" spans="1:10" x14ac:dyDescent="0.25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248</v>
      </c>
    </row>
    <row r="301" spans="1:10" x14ac:dyDescent="0.25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249</v>
      </c>
    </row>
    <row r="302" spans="1:10" x14ac:dyDescent="0.25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250</v>
      </c>
    </row>
    <row r="303" spans="1:10" x14ac:dyDescent="0.25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251</v>
      </c>
    </row>
    <row r="304" spans="1:10" x14ac:dyDescent="0.25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252</v>
      </c>
    </row>
    <row r="305" spans="1:10" x14ac:dyDescent="0.25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253</v>
      </c>
    </row>
    <row r="306" spans="1:10" x14ac:dyDescent="0.25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254</v>
      </c>
    </row>
    <row r="307" spans="1:10" x14ac:dyDescent="0.25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255</v>
      </c>
    </row>
    <row r="308" spans="1:10" x14ac:dyDescent="0.25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256</v>
      </c>
    </row>
    <row r="309" spans="1:10" x14ac:dyDescent="0.25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257</v>
      </c>
    </row>
    <row r="310" spans="1:10" x14ac:dyDescent="0.25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258</v>
      </c>
    </row>
    <row r="311" spans="1:10" x14ac:dyDescent="0.25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259</v>
      </c>
    </row>
    <row r="312" spans="1:10" x14ac:dyDescent="0.25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260</v>
      </c>
    </row>
    <row r="313" spans="1:10" x14ac:dyDescent="0.25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261</v>
      </c>
    </row>
    <row r="314" spans="1:10" x14ac:dyDescent="0.25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262</v>
      </c>
    </row>
    <row r="315" spans="1:10" x14ac:dyDescent="0.25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263</v>
      </c>
    </row>
    <row r="316" spans="1:10" x14ac:dyDescent="0.25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264</v>
      </c>
    </row>
    <row r="317" spans="1:10" x14ac:dyDescent="0.25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265</v>
      </c>
    </row>
    <row r="318" spans="1:10" x14ac:dyDescent="0.25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266</v>
      </c>
    </row>
    <row r="319" spans="1:10" x14ac:dyDescent="0.25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267</v>
      </c>
    </row>
    <row r="320" spans="1:10" x14ac:dyDescent="0.25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268</v>
      </c>
    </row>
    <row r="321" spans="1:10" x14ac:dyDescent="0.25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269</v>
      </c>
    </row>
    <row r="322" spans="1:10" x14ac:dyDescent="0.25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270</v>
      </c>
    </row>
    <row r="323" spans="1:10" x14ac:dyDescent="0.25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271</v>
      </c>
    </row>
    <row r="324" spans="1:10" x14ac:dyDescent="0.25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272</v>
      </c>
    </row>
    <row r="325" spans="1:10" x14ac:dyDescent="0.25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273</v>
      </c>
    </row>
    <row r="326" spans="1:10" x14ac:dyDescent="0.25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274</v>
      </c>
    </row>
    <row r="327" spans="1:10" x14ac:dyDescent="0.25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275</v>
      </c>
    </row>
    <row r="328" spans="1:10" x14ac:dyDescent="0.25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276</v>
      </c>
    </row>
    <row r="329" spans="1:10" x14ac:dyDescent="0.25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277</v>
      </c>
    </row>
    <row r="330" spans="1:10" x14ac:dyDescent="0.25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278</v>
      </c>
    </row>
    <row r="331" spans="1:10" x14ac:dyDescent="0.25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279</v>
      </c>
    </row>
    <row r="332" spans="1:10" x14ac:dyDescent="0.25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280</v>
      </c>
    </row>
    <row r="333" spans="1:10" x14ac:dyDescent="0.25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281</v>
      </c>
    </row>
    <row r="334" spans="1:10" x14ac:dyDescent="0.25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282</v>
      </c>
    </row>
    <row r="335" spans="1:10" x14ac:dyDescent="0.25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283</v>
      </c>
    </row>
    <row r="336" spans="1:10" x14ac:dyDescent="0.25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284</v>
      </c>
    </row>
    <row r="337" spans="1:10" x14ac:dyDescent="0.25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285</v>
      </c>
    </row>
    <row r="338" spans="1:10" x14ac:dyDescent="0.25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286</v>
      </c>
    </row>
    <row r="339" spans="1:10" x14ac:dyDescent="0.25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287</v>
      </c>
    </row>
    <row r="340" spans="1:10" x14ac:dyDescent="0.25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288</v>
      </c>
    </row>
    <row r="341" spans="1:10" x14ac:dyDescent="0.25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289</v>
      </c>
    </row>
    <row r="342" spans="1:10" x14ac:dyDescent="0.25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290</v>
      </c>
    </row>
    <row r="343" spans="1:10" x14ac:dyDescent="0.25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291</v>
      </c>
    </row>
    <row r="344" spans="1:10" x14ac:dyDescent="0.25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292</v>
      </c>
    </row>
    <row r="345" spans="1:10" x14ac:dyDescent="0.25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293</v>
      </c>
    </row>
    <row r="346" spans="1:10" x14ac:dyDescent="0.25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294</v>
      </c>
    </row>
    <row r="347" spans="1:10" x14ac:dyDescent="0.25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295</v>
      </c>
    </row>
    <row r="348" spans="1:10" x14ac:dyDescent="0.25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296</v>
      </c>
    </row>
    <row r="349" spans="1:10" x14ac:dyDescent="0.25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297</v>
      </c>
    </row>
    <row r="350" spans="1:10" x14ac:dyDescent="0.25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298</v>
      </c>
    </row>
    <row r="351" spans="1:10" x14ac:dyDescent="0.25">
      <c r="J351">
        <f t="shared" si="5"/>
        <v>299</v>
      </c>
    </row>
  </sheetData>
  <mergeCells count="2">
    <mergeCell ref="M17:Q17"/>
    <mergeCell ref="K71:O7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59"/>
      <c r="L7" s="259"/>
      <c r="M7" s="259"/>
      <c r="N7" s="259"/>
      <c r="O7" s="259"/>
      <c r="P7" s="260"/>
      <c r="Q7" s="260"/>
      <c r="R7" s="260"/>
      <c r="S7" s="85"/>
      <c r="T7" s="261"/>
      <c r="U7" s="262"/>
      <c r="V7" s="262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73" t="s">
        <v>142</v>
      </c>
      <c r="C8" s="273"/>
      <c r="D8" s="273"/>
      <c r="E8" s="273"/>
      <c r="F8" s="261" t="s">
        <v>45</v>
      </c>
      <c r="G8" s="285" t="s">
        <v>144</v>
      </c>
      <c r="H8" s="285"/>
      <c r="I8" s="285"/>
      <c r="J8" s="84"/>
      <c r="K8" s="259"/>
      <c r="L8" s="259"/>
      <c r="M8" s="259"/>
      <c r="N8" s="259"/>
      <c r="O8" s="259"/>
      <c r="P8" s="260"/>
      <c r="Q8" s="260"/>
      <c r="R8" s="260"/>
      <c r="S8" s="85"/>
      <c r="T8" s="263"/>
      <c r="U8" s="263"/>
      <c r="V8" s="262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61"/>
      <c r="G9" s="285"/>
      <c r="H9" s="285"/>
      <c r="I9" s="285"/>
      <c r="J9" s="84"/>
      <c r="K9" s="259"/>
      <c r="L9" s="259"/>
      <c r="M9" s="259"/>
      <c r="N9" s="259"/>
      <c r="O9" s="259"/>
      <c r="P9" s="259"/>
      <c r="Q9" s="259"/>
      <c r="R9" s="259"/>
      <c r="S9" s="85"/>
      <c r="T9" s="87"/>
      <c r="U9" s="263"/>
      <c r="V9" s="262"/>
      <c r="AG9" s="34"/>
      <c r="AH9" s="34"/>
      <c r="AI9" s="34"/>
      <c r="AJ9" s="34"/>
      <c r="AK9" s="34"/>
    </row>
    <row r="10" spans="1:37" x14ac:dyDescent="0.25">
      <c r="A10" s="84" t="s">
        <v>94</v>
      </c>
      <c r="B10" s="273" t="s">
        <v>145</v>
      </c>
      <c r="C10" s="273"/>
      <c r="D10" s="273"/>
      <c r="E10" s="273"/>
      <c r="F10" s="261"/>
      <c r="G10" s="285"/>
      <c r="H10" s="285"/>
      <c r="I10" s="285"/>
      <c r="J10" s="84"/>
      <c r="K10" s="96"/>
      <c r="L10" s="267"/>
      <c r="M10" s="267"/>
      <c r="N10" s="267"/>
      <c r="O10" s="267"/>
      <c r="P10" s="267"/>
      <c r="Q10" s="267"/>
      <c r="R10" s="267"/>
      <c r="S10" s="267"/>
      <c r="T10" s="268"/>
      <c r="U10" s="268"/>
      <c r="V10" s="268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61"/>
      <c r="G11" s="285"/>
      <c r="H11" s="285"/>
      <c r="I11" s="285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84" t="s">
        <v>154</v>
      </c>
      <c r="H13" s="284"/>
      <c r="I13" s="284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84"/>
      <c r="H14" s="284"/>
      <c r="I14" s="284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1.2</v>
      </c>
      <c r="M19" s="54">
        <f t="shared" si="1"/>
        <v>1.2</v>
      </c>
      <c r="N19" s="54">
        <f>SUM(M15:M19)</f>
        <v>1.2</v>
      </c>
      <c r="O19" s="54">
        <f t="shared" si="0"/>
        <v>98.8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6.8</v>
      </c>
      <c r="M20" s="54">
        <f t="shared" si="1"/>
        <v>6.8000000000000007</v>
      </c>
      <c r="N20" s="54">
        <f>SUM(M15:M20)</f>
        <v>8</v>
      </c>
      <c r="O20" s="54">
        <f t="shared" si="0"/>
        <v>92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12.7</v>
      </c>
      <c r="M21" s="54">
        <f t="shared" si="1"/>
        <v>12.7</v>
      </c>
      <c r="N21" s="54">
        <f>SUM(M15:M21)</f>
        <v>20.7</v>
      </c>
      <c r="O21" s="54">
        <f t="shared" si="0"/>
        <v>79.3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 t="e">
        <f>'input-output'!#REF!</f>
        <v>#REF!</v>
      </c>
      <c r="M22" s="54" t="e">
        <f t="shared" si="1"/>
        <v>#REF!</v>
      </c>
      <c r="N22" s="112" t="e">
        <f>IF(SUM(M15:M22)=100,100,"Adjust wt.")</f>
        <v>#REF!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69" t="s">
        <v>51</v>
      </c>
      <c r="N27" s="270"/>
      <c r="O27" s="29" t="s">
        <v>52</v>
      </c>
      <c r="P27" s="31"/>
      <c r="Q27" s="271">
        <v>867452</v>
      </c>
      <c r="R27" s="272"/>
      <c r="S27" s="33" t="s">
        <v>55</v>
      </c>
      <c r="T27" s="32"/>
      <c r="U27" s="32"/>
      <c r="V27" s="66">
        <f>GS</f>
        <v>2.65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64" t="s">
        <v>86</v>
      </c>
      <c r="M30" s="265"/>
      <c r="N30" s="265"/>
      <c r="O30" s="265"/>
      <c r="P30" s="265"/>
      <c r="Q30" s="265"/>
      <c r="R30" s="266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2.5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74" t="s">
        <v>103</v>
      </c>
      <c r="L35" s="26">
        <f>'input-output'!F5</f>
        <v>0.25</v>
      </c>
      <c r="M35" s="26">
        <f>'input-output'!G5</f>
        <v>42</v>
      </c>
      <c r="N35" s="26">
        <f>'input-output'!H5</f>
        <v>29</v>
      </c>
      <c r="O35" s="11">
        <f t="shared" ref="O35:O49" si="2">M35-$L$31+$V$31+ROUND(0.0001220529*N35^4-0.0097599296*N35^3+0.2949228983*N35^2-3.7542171086*N35+15.6302691117,1)</f>
        <v>43.1</v>
      </c>
      <c r="P35" s="27">
        <f t="shared" ref="P35:P49" si="3">O35/$U$29*$P$52*100</f>
        <v>86.2</v>
      </c>
      <c r="Q35" s="27">
        <f t="shared" ref="Q35:Q49" si="4">P35*$O$21/100</f>
        <v>68.3566</v>
      </c>
      <c r="R35" s="11">
        <f t="shared" ref="R35:R49" si="5">M35+$V$31</f>
        <v>42.5</v>
      </c>
      <c r="S35" s="11">
        <f t="shared" ref="S35:S49" si="6">ROUND(($M$28-$M$29)/($K$28-$K$29)*(R35-$K$28)+$M$28+0.5*(Ltwo-Vb/Agrad),1)</f>
        <v>9.6</v>
      </c>
      <c r="T35" s="11">
        <f t="shared" ref="T35:T49" si="7">ROUND(-0.000005006464124*N35^2-0.00000484550743*N35+1.00033065352292,5)</f>
        <v>0.99597999999999998</v>
      </c>
      <c r="U35" s="11">
        <f t="shared" ref="U35:U49" si="8">ROUND(0.000000000347305*N35^4-0.00000010799529*N35^3+0.000010444897593*N35^2-0.00054383241282*N35+0.017557582729184,5)</f>
        <v>8.1799999999999998E-3</v>
      </c>
      <c r="V35" s="12">
        <f t="shared" ref="V35:V49" si="9">ROUND( (30*U35/980/(GS-T35)*S35/L35)^0.5,5)</f>
        <v>7.6249999999999998E-2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75"/>
      <c r="L36" s="26">
        <f>'input-output'!F6</f>
        <v>0.5</v>
      </c>
      <c r="M36" s="26">
        <f>'input-output'!G6</f>
        <v>38</v>
      </c>
      <c r="N36" s="26">
        <f>'input-output'!H6</f>
        <v>29</v>
      </c>
      <c r="O36" s="11">
        <f t="shared" si="2"/>
        <v>39.1</v>
      </c>
      <c r="P36" s="27">
        <f t="shared" si="3"/>
        <v>78.2</v>
      </c>
      <c r="Q36" s="27">
        <f t="shared" si="4"/>
        <v>62.012599999999999</v>
      </c>
      <c r="R36" s="11">
        <f t="shared" si="5"/>
        <v>38.5</v>
      </c>
      <c r="S36" s="11">
        <f t="shared" si="6"/>
        <v>10.3</v>
      </c>
      <c r="T36" s="11">
        <f t="shared" si="7"/>
        <v>0.99597999999999998</v>
      </c>
      <c r="U36" s="11">
        <f t="shared" si="8"/>
        <v>8.1799999999999998E-3</v>
      </c>
      <c r="V36" s="12">
        <f t="shared" si="9"/>
        <v>5.5849999999999997E-2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75"/>
      <c r="L37" s="26">
        <f>'input-output'!F7</f>
        <v>1</v>
      </c>
      <c r="M37" s="26">
        <f>'input-output'!G7</f>
        <v>32</v>
      </c>
      <c r="N37" s="26">
        <f>'input-output'!H7</f>
        <v>29</v>
      </c>
      <c r="O37" s="11">
        <f t="shared" si="2"/>
        <v>33.1</v>
      </c>
      <c r="P37" s="27">
        <f t="shared" si="3"/>
        <v>66.2</v>
      </c>
      <c r="Q37" s="27">
        <f t="shared" si="4"/>
        <v>52.496600000000001</v>
      </c>
      <c r="R37" s="11">
        <f t="shared" si="5"/>
        <v>32.5</v>
      </c>
      <c r="S37" s="11">
        <f t="shared" si="6"/>
        <v>11.3</v>
      </c>
      <c r="T37" s="11">
        <f t="shared" si="7"/>
        <v>0.99597999999999998</v>
      </c>
      <c r="U37" s="11">
        <f t="shared" si="8"/>
        <v>8.1799999999999998E-3</v>
      </c>
      <c r="V37" s="12">
        <f t="shared" si="9"/>
        <v>4.1360000000000001E-2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75"/>
      <c r="L38" s="26">
        <f>'input-output'!F8</f>
        <v>2</v>
      </c>
      <c r="M38" s="26">
        <f>'input-output'!G8</f>
        <v>27</v>
      </c>
      <c r="N38" s="26">
        <f>'input-output'!H8</f>
        <v>29</v>
      </c>
      <c r="O38" s="11">
        <f t="shared" si="2"/>
        <v>28.1</v>
      </c>
      <c r="P38" s="27">
        <f t="shared" si="3"/>
        <v>56.2</v>
      </c>
      <c r="Q38" s="27">
        <f t="shared" si="4"/>
        <v>44.566600000000001</v>
      </c>
      <c r="R38" s="11">
        <f t="shared" si="5"/>
        <v>27.5</v>
      </c>
      <c r="S38" s="11">
        <f t="shared" si="6"/>
        <v>12.1</v>
      </c>
      <c r="T38" s="11">
        <f t="shared" si="7"/>
        <v>0.99597999999999998</v>
      </c>
      <c r="U38" s="11">
        <f t="shared" si="8"/>
        <v>8.1799999999999998E-3</v>
      </c>
      <c r="V38" s="12">
        <f t="shared" si="9"/>
        <v>3.0259999999999999E-2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75"/>
      <c r="L39" s="26">
        <f>'input-output'!F9</f>
        <v>4</v>
      </c>
      <c r="M39" s="26">
        <f>'input-output'!G9</f>
        <v>23.5</v>
      </c>
      <c r="N39" s="26">
        <f>'input-output'!H9</f>
        <v>29</v>
      </c>
      <c r="O39" s="11">
        <f t="shared" si="2"/>
        <v>24.6</v>
      </c>
      <c r="P39" s="27">
        <f t="shared" si="3"/>
        <v>49.2</v>
      </c>
      <c r="Q39" s="27">
        <f t="shared" si="4"/>
        <v>39.015599999999999</v>
      </c>
      <c r="R39" s="11">
        <f t="shared" si="5"/>
        <v>24</v>
      </c>
      <c r="S39" s="11">
        <f t="shared" si="6"/>
        <v>12.6</v>
      </c>
      <c r="T39" s="11">
        <f t="shared" si="7"/>
        <v>0.99597999999999998</v>
      </c>
      <c r="U39" s="11">
        <f t="shared" si="8"/>
        <v>8.1799999999999998E-3</v>
      </c>
      <c r="V39" s="12">
        <f t="shared" si="9"/>
        <v>2.1839999999999998E-2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75"/>
      <c r="L40" s="26">
        <f>'input-output'!F10</f>
        <v>8</v>
      </c>
      <c r="M40" s="26">
        <f>'input-output'!G10</f>
        <v>20.5</v>
      </c>
      <c r="N40" s="26">
        <f>'input-output'!H10</f>
        <v>29</v>
      </c>
      <c r="O40" s="11">
        <f t="shared" si="2"/>
        <v>21.6</v>
      </c>
      <c r="P40" s="27">
        <f t="shared" si="3"/>
        <v>43.2</v>
      </c>
      <c r="Q40" s="27">
        <f t="shared" si="4"/>
        <v>34.257600000000004</v>
      </c>
      <c r="R40" s="11">
        <f t="shared" si="5"/>
        <v>21</v>
      </c>
      <c r="S40" s="11">
        <f t="shared" si="6"/>
        <v>13.1</v>
      </c>
      <c r="T40" s="11">
        <f t="shared" si="7"/>
        <v>0.99597999999999998</v>
      </c>
      <c r="U40" s="11">
        <f t="shared" si="8"/>
        <v>8.1799999999999998E-3</v>
      </c>
      <c r="V40" s="12">
        <f t="shared" si="9"/>
        <v>1.575E-2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75"/>
      <c r="L41" s="26">
        <f>'input-output'!F11</f>
        <v>15</v>
      </c>
      <c r="M41" s="26">
        <f>'input-output'!G11</f>
        <v>17.5</v>
      </c>
      <c r="N41" s="26">
        <f>'input-output'!H11</f>
        <v>29</v>
      </c>
      <c r="O41" s="11">
        <f t="shared" si="2"/>
        <v>18.600000000000001</v>
      </c>
      <c r="P41" s="27">
        <f t="shared" si="3"/>
        <v>37.200000000000003</v>
      </c>
      <c r="Q41" s="27">
        <f t="shared" si="4"/>
        <v>29.499600000000001</v>
      </c>
      <c r="R41" s="11">
        <f t="shared" si="5"/>
        <v>18</v>
      </c>
      <c r="S41" s="11">
        <f t="shared" si="6"/>
        <v>13.6</v>
      </c>
      <c r="T41" s="11">
        <f t="shared" si="7"/>
        <v>0.99597999999999998</v>
      </c>
      <c r="U41" s="11">
        <f t="shared" si="8"/>
        <v>8.1799999999999998E-3</v>
      </c>
      <c r="V41" s="12">
        <f t="shared" si="9"/>
        <v>1.172E-2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75"/>
      <c r="L42" s="26">
        <f>'input-output'!F12</f>
        <v>30</v>
      </c>
      <c r="M42" s="26">
        <f>'input-output'!G12</f>
        <v>15</v>
      </c>
      <c r="N42" s="26">
        <f>'input-output'!H12</f>
        <v>29</v>
      </c>
      <c r="O42" s="11">
        <f t="shared" si="2"/>
        <v>16.100000000000001</v>
      </c>
      <c r="P42" s="27">
        <f t="shared" si="3"/>
        <v>32.200000000000003</v>
      </c>
      <c r="Q42" s="27">
        <f t="shared" si="4"/>
        <v>25.534600000000001</v>
      </c>
      <c r="R42" s="11">
        <f t="shared" si="5"/>
        <v>15.5</v>
      </c>
      <c r="S42" s="11">
        <f t="shared" si="6"/>
        <v>14</v>
      </c>
      <c r="T42" s="11">
        <f t="shared" si="7"/>
        <v>0.99597999999999998</v>
      </c>
      <c r="U42" s="11">
        <f t="shared" si="8"/>
        <v>8.1799999999999998E-3</v>
      </c>
      <c r="V42" s="12">
        <f t="shared" si="9"/>
        <v>8.4100000000000008E-3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75"/>
      <c r="L43" s="26">
        <f>'input-output'!F13</f>
        <v>60</v>
      </c>
      <c r="M43" s="26">
        <f>'input-output'!G13</f>
        <v>13.5</v>
      </c>
      <c r="N43" s="26">
        <f>'input-output'!H13</f>
        <v>29</v>
      </c>
      <c r="O43" s="11">
        <f t="shared" si="2"/>
        <v>14.6</v>
      </c>
      <c r="P43" s="27">
        <f t="shared" si="3"/>
        <v>29.2</v>
      </c>
      <c r="Q43" s="27">
        <f t="shared" si="4"/>
        <v>23.1556</v>
      </c>
      <c r="R43" s="11">
        <f t="shared" si="5"/>
        <v>14</v>
      </c>
      <c r="S43" s="11">
        <f t="shared" si="6"/>
        <v>14.3</v>
      </c>
      <c r="T43" s="11">
        <f t="shared" si="7"/>
        <v>0.99597999999999998</v>
      </c>
      <c r="U43" s="11">
        <f t="shared" si="8"/>
        <v>8.1799999999999998E-3</v>
      </c>
      <c r="V43" s="12">
        <f t="shared" si="9"/>
        <v>6.0099999999999997E-3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75"/>
      <c r="L44" s="26">
        <f>'input-output'!F14</f>
        <v>120</v>
      </c>
      <c r="M44" s="26">
        <f>'input-output'!G14</f>
        <v>11</v>
      </c>
      <c r="N44" s="26">
        <f>'input-output'!H14</f>
        <v>29</v>
      </c>
      <c r="O44" s="11">
        <f t="shared" si="2"/>
        <v>12.1</v>
      </c>
      <c r="P44" s="27">
        <f t="shared" si="3"/>
        <v>24.2</v>
      </c>
      <c r="Q44" s="27">
        <f t="shared" si="4"/>
        <v>19.1906</v>
      </c>
      <c r="R44" s="11">
        <f t="shared" si="5"/>
        <v>11.5</v>
      </c>
      <c r="S44" s="11">
        <f t="shared" si="6"/>
        <v>14.7</v>
      </c>
      <c r="T44" s="11">
        <f t="shared" si="7"/>
        <v>0.99597999999999998</v>
      </c>
      <c r="U44" s="11">
        <f t="shared" si="8"/>
        <v>8.1799999999999998E-3</v>
      </c>
      <c r="V44" s="12">
        <f t="shared" si="9"/>
        <v>4.3099999999999996E-3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75"/>
      <c r="L45" s="26">
        <f>'input-output'!F15</f>
        <v>240</v>
      </c>
      <c r="M45" s="26">
        <f>'input-output'!G15</f>
        <v>8.5</v>
      </c>
      <c r="N45" s="26">
        <f>'input-output'!H15</f>
        <v>29</v>
      </c>
      <c r="O45" s="11">
        <f t="shared" si="2"/>
        <v>9.6</v>
      </c>
      <c r="P45" s="27">
        <f t="shared" si="3"/>
        <v>19.2</v>
      </c>
      <c r="Q45" s="27">
        <f t="shared" si="4"/>
        <v>15.2256</v>
      </c>
      <c r="R45" s="11">
        <f t="shared" si="5"/>
        <v>9</v>
      </c>
      <c r="S45" s="11">
        <f t="shared" si="6"/>
        <v>15.1</v>
      </c>
      <c r="T45" s="11">
        <f t="shared" si="7"/>
        <v>0.99597999999999998</v>
      </c>
      <c r="U45" s="11">
        <f t="shared" si="8"/>
        <v>8.1799999999999998E-3</v>
      </c>
      <c r="V45" s="12">
        <f t="shared" si="9"/>
        <v>3.0899999999999999E-3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75"/>
      <c r="L46" s="26">
        <f>'input-output'!F16</f>
        <v>480</v>
      </c>
      <c r="M46" s="26">
        <f>'input-output'!G17</f>
        <v>6</v>
      </c>
      <c r="N46" s="26">
        <f>'input-output'!H16</f>
        <v>29</v>
      </c>
      <c r="O46" s="11">
        <f t="shared" si="2"/>
        <v>7.1</v>
      </c>
      <c r="P46" s="27">
        <f t="shared" si="3"/>
        <v>14.2</v>
      </c>
      <c r="Q46" s="27">
        <f t="shared" si="4"/>
        <v>11.2606</v>
      </c>
      <c r="R46" s="11">
        <f t="shared" si="5"/>
        <v>6.5</v>
      </c>
      <c r="S46" s="11">
        <f t="shared" si="6"/>
        <v>15.5</v>
      </c>
      <c r="T46" s="11">
        <f t="shared" si="7"/>
        <v>0.99597999999999998</v>
      </c>
      <c r="U46" s="11">
        <f t="shared" si="8"/>
        <v>8.1799999999999998E-3</v>
      </c>
      <c r="V46" s="12">
        <f t="shared" si="9"/>
        <v>2.2100000000000002E-3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75"/>
      <c r="L47" s="26">
        <f>'input-output'!F17</f>
        <v>1402</v>
      </c>
      <c r="M47" s="26">
        <f>'input-output'!G18</f>
        <v>5</v>
      </c>
      <c r="N47" s="26">
        <f>'input-output'!H17</f>
        <v>29</v>
      </c>
      <c r="O47" s="11">
        <f t="shared" si="2"/>
        <v>6.1</v>
      </c>
      <c r="P47" s="27">
        <f t="shared" si="3"/>
        <v>12.2</v>
      </c>
      <c r="Q47" s="27">
        <f t="shared" si="4"/>
        <v>9.6745999999999999</v>
      </c>
      <c r="R47" s="11">
        <f t="shared" si="5"/>
        <v>5.5</v>
      </c>
      <c r="S47" s="11">
        <f t="shared" si="6"/>
        <v>15.7</v>
      </c>
      <c r="T47" s="11">
        <f t="shared" si="7"/>
        <v>0.99597999999999998</v>
      </c>
      <c r="U47" s="11">
        <f t="shared" si="8"/>
        <v>8.1799999999999998E-3</v>
      </c>
      <c r="V47" s="107">
        <f t="shared" si="9"/>
        <v>1.2999999999999999E-3</v>
      </c>
      <c r="W47" s="108">
        <f>24*60</f>
        <v>1440</v>
      </c>
      <c r="X47" s="277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75"/>
      <c r="L48" s="26">
        <f>'input-output'!F18</f>
        <v>2845</v>
      </c>
      <c r="M48" s="26">
        <f>'input-output'!G19</f>
        <v>4</v>
      </c>
      <c r="N48" s="26">
        <f>'input-output'!H18</f>
        <v>29</v>
      </c>
      <c r="O48" s="11">
        <f t="shared" si="2"/>
        <v>5.0999999999999996</v>
      </c>
      <c r="P48" s="27">
        <f t="shared" si="3"/>
        <v>10.199999999999999</v>
      </c>
      <c r="Q48" s="27">
        <f t="shared" si="4"/>
        <v>8.0885999999999996</v>
      </c>
      <c r="R48" s="11">
        <f t="shared" si="5"/>
        <v>4.5</v>
      </c>
      <c r="S48" s="11">
        <f t="shared" si="6"/>
        <v>15.9</v>
      </c>
      <c r="T48" s="11">
        <f t="shared" si="7"/>
        <v>0.99597999999999998</v>
      </c>
      <c r="U48" s="11">
        <f t="shared" si="8"/>
        <v>8.1799999999999998E-3</v>
      </c>
      <c r="V48" s="107">
        <f t="shared" si="9"/>
        <v>9.2000000000000003E-4</v>
      </c>
      <c r="W48" s="109">
        <v>2880</v>
      </c>
      <c r="X48" s="278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76"/>
      <c r="L49" s="26">
        <f>'input-output'!F19</f>
        <v>4323</v>
      </c>
      <c r="M49" s="26" t="e">
        <f>'input-output'!#REF!</f>
        <v>#REF!</v>
      </c>
      <c r="N49" s="26">
        <f>'input-output'!H19</f>
        <v>30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0.99568000000000001</v>
      </c>
      <c r="U49" s="11">
        <f t="shared" si="8"/>
        <v>8.0099999999999998E-3</v>
      </c>
      <c r="V49" s="107" t="e">
        <f t="shared" si="9"/>
        <v>#REF!</v>
      </c>
      <c r="W49" s="110">
        <v>4320</v>
      </c>
      <c r="X49" s="279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1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373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31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341.9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49.8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0.99536999999999998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2.65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80" t="s">
        <v>114</v>
      </c>
      <c r="C75" s="281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82"/>
      <c r="C76" s="283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100</v>
      </c>
    </row>
    <row r="83" spans="2:30" x14ac:dyDescent="0.25">
      <c r="B83" s="127">
        <f t="shared" si="11"/>
        <v>0.3</v>
      </c>
      <c r="C83" s="129">
        <f t="shared" si="12"/>
        <v>98.8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92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79.3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5.5849999999999997E-2</v>
      </c>
      <c r="C86" s="131">
        <f>Q36</f>
        <v>62.012599999999999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4.1360000000000001E-2</v>
      </c>
      <c r="C87" s="131">
        <f t="shared" ref="C87:C99" si="14">Q37</f>
        <v>52.496600000000001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3.0259999999999999E-2</v>
      </c>
      <c r="C88" s="131">
        <f t="shared" si="14"/>
        <v>44.566600000000001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2.1839999999999998E-2</v>
      </c>
      <c r="C89" s="131">
        <f t="shared" si="14"/>
        <v>39.015599999999999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1.575E-2</v>
      </c>
      <c r="C90" s="131">
        <f t="shared" si="14"/>
        <v>34.257600000000004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1.172E-2</v>
      </c>
      <c r="C91" s="131">
        <f t="shared" si="14"/>
        <v>29.499600000000001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8.4100000000000008E-3</v>
      </c>
      <c r="C92" s="131">
        <f t="shared" si="14"/>
        <v>25.534600000000001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6.0099999999999997E-3</v>
      </c>
      <c r="C93" s="131">
        <f t="shared" si="14"/>
        <v>23.1556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4.3099999999999996E-3</v>
      </c>
      <c r="C94" s="131">
        <f t="shared" si="14"/>
        <v>19.1906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3.0899999999999999E-3</v>
      </c>
      <c r="C95" s="131">
        <f t="shared" si="14"/>
        <v>15.2256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2.2100000000000002E-3</v>
      </c>
      <c r="C96" s="131">
        <f t="shared" si="14"/>
        <v>11.2606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1.2999999999999999E-3</v>
      </c>
      <c r="C97" s="131">
        <f t="shared" si="14"/>
        <v>9.6745999999999999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9.2000000000000003E-4</v>
      </c>
      <c r="C98" s="131">
        <f t="shared" si="14"/>
        <v>8.0885999999999996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B8:E8"/>
    <mergeCell ref="B10:E10"/>
    <mergeCell ref="K35:K49"/>
    <mergeCell ref="X47:X49"/>
    <mergeCell ref="B75:C76"/>
    <mergeCell ref="F8:F11"/>
    <mergeCell ref="G13:I14"/>
    <mergeCell ref="G8:I11"/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86" t="s">
        <v>126</v>
      </c>
      <c r="E3" s="287"/>
      <c r="F3" s="286" t="s">
        <v>127</v>
      </c>
      <c r="G3" s="287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99.403000408635023</v>
      </c>
      <c r="J5" s="154">
        <f t="shared" ref="J5:J9" si="1">ROUND(H5-I5,2)</f>
        <v>0.6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98.8</v>
      </c>
      <c r="H6" s="114" cm="1">
        <f t="array" ref="H6">TREND(F6:G6,LOG10(D6:E6),LOG10(B6),TRUE)</f>
        <v>99.403000408635023</v>
      </c>
      <c r="I6" s="114">
        <f t="shared" si="0"/>
        <v>79.300000000000011</v>
      </c>
      <c r="J6" s="154">
        <f t="shared" si="1"/>
        <v>20.100000000000001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5.5849999999999997E-2</v>
      </c>
      <c r="F7" s="114">
        <f>INDEX(main!$B$79:$C$99,MATCH(B7,main!$B$79:$B$99,-1),2)</f>
        <v>79.3</v>
      </c>
      <c r="G7" s="114">
        <f>INDEX(main!$B$79:$C$99,MATCH(B7,main!$B$79:$B$99,-1)+1,2)</f>
        <v>62.012599999999999</v>
      </c>
      <c r="H7" s="114" cm="1">
        <f t="array" ref="H7">TREND(F7:G7,LOG10(D7:E7),LOG10(B7),TRUE)</f>
        <v>79.300000000000011</v>
      </c>
      <c r="I7" s="114">
        <f t="shared" si="0"/>
        <v>20.961504752605961</v>
      </c>
      <c r="J7" s="154">
        <f t="shared" si="1"/>
        <v>58.34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6.0099999999999997E-3</v>
      </c>
      <c r="E8" s="114">
        <f>INDEX(main!$B$79:$C$99,MATCH(B8,main!$B$79:$B$99,-1)+1,1)</f>
        <v>4.3099999999999996E-3</v>
      </c>
      <c r="F8" s="114">
        <f>INDEX(main!$B$79:$C$99,MATCH(B8,main!$B$79:$B$99,-1),2)</f>
        <v>23.1556</v>
      </c>
      <c r="G8" s="114">
        <f>INDEX(main!$B$79:$C$99,MATCH(B8,main!$B$79:$B$99,-1)+1,2)</f>
        <v>19.1906</v>
      </c>
      <c r="H8" s="114" cm="1">
        <f t="array" ref="H8">TREND(F8:G8,LOG10(D8:E8),LOG10(B8),TRUE)</f>
        <v>20.961504752605961</v>
      </c>
      <c r="I8" s="114">
        <f t="shared" si="0"/>
        <v>8.4710867972374544</v>
      </c>
      <c r="J8" s="154">
        <f t="shared" si="1"/>
        <v>12.49</v>
      </c>
      <c r="K8" s="288" t="s">
        <v>138</v>
      </c>
      <c r="L8" s="164">
        <f>J9+J8</f>
        <v>20.96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1.2999999999999999E-3</v>
      </c>
      <c r="E9" s="138">
        <f>INDEX(main!$B$79:$C$99,MATCH(B9,main!$B$79:$B$99,-1)+1,1)</f>
        <v>9.2000000000000003E-4</v>
      </c>
      <c r="F9" s="138">
        <f>INDEX(main!$B$79:$C$99,MATCH(B9,main!$B$79:$B$99,-1),2)</f>
        <v>9.6745999999999999</v>
      </c>
      <c r="G9" s="138">
        <f>INDEX(main!$B$79:$C$99,MATCH(B9,main!$B$79:$B$99,-1)+1,2)</f>
        <v>8.0885999999999996</v>
      </c>
      <c r="H9" s="138" cm="1">
        <f t="array" ref="H9">TREND(F9:G9,LOG10(D9:E9),LOG10(B9),TRUE)</f>
        <v>8.4710867972374544</v>
      </c>
      <c r="I9" s="138">
        <f t="shared" si="0"/>
        <v>0</v>
      </c>
      <c r="J9" s="155">
        <f t="shared" si="1"/>
        <v>8.4700000000000006</v>
      </c>
      <c r="K9" s="289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86" t="s">
        <v>132</v>
      </c>
      <c r="C12" s="287"/>
      <c r="D12" s="286" t="s">
        <v>121</v>
      </c>
      <c r="E12" s="287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11.2606</v>
      </c>
      <c r="C13" s="141">
        <f>INDEX(main!$B$79:$C$99,MATCH(A13,main!$C$79:$C$99,-1)+1,2)</f>
        <v>9.6745999999999999</v>
      </c>
      <c r="D13" s="141">
        <f>INDEX(main!$B$79:$C$99,MATCH(A13,main!$C$79:$C$99,-1),1)</f>
        <v>2.2100000000000002E-3</v>
      </c>
      <c r="E13" s="141">
        <f>INDEX(main!$B$79:$C$99,MATCH(A13,main!$C$79:$C$99,-1)+1,1)</f>
        <v>1.2999999999999999E-3</v>
      </c>
      <c r="F13" s="175" cm="1">
        <f t="array" ref="F13">IF(ISERROR(E13)=FALSE,ROUND(10^TREND(LOG10(D13:E13),B13:C13,A13),3),"---")</f>
        <v>1E-3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34.257600000000004</v>
      </c>
      <c r="C14" s="141">
        <f>INDEX(main!$B$79:$C$99,MATCH(A14,main!$C$79:$C$99,-1)+1,2)</f>
        <v>29.499600000000001</v>
      </c>
      <c r="D14" s="141">
        <f>INDEX(main!$B$79:$C$99,MATCH(A14,main!$C$79:$C$99,-1),1)</f>
        <v>1.575E-2</v>
      </c>
      <c r="E14" s="141">
        <f>INDEX(main!$B$79:$C$99,MATCH(A14,main!$C$79:$C$99,-1)+1,1)</f>
        <v>1.172E-2</v>
      </c>
      <c r="F14" s="175" cm="1">
        <f t="array" ref="F14">IF(ISERROR(E14)=FALSE,ROUND(10^TREND(LOG10(D14:E14),B14:C14,A14),3),"---")</f>
        <v>1.2E-2</v>
      </c>
      <c r="G14" s="176">
        <f>IF(OR(F13="---",F15="---"),"---",ROUND(F15/F13,2))</f>
        <v>52</v>
      </c>
      <c r="H14" s="137">
        <f>IF(OR(F13="---",F14="---",F15="---"),"---",ROUND(F14^2/(F15*F13),2))</f>
        <v>2.77</v>
      </c>
    </row>
    <row r="15" spans="1:12" ht="13" x14ac:dyDescent="0.25">
      <c r="A15" s="140">
        <v>60</v>
      </c>
      <c r="B15" s="141">
        <f>INDEX(main!$B$79:$C$99,MATCH(A15,main!$C$79:$C$99,-1),2)</f>
        <v>62.012599999999999</v>
      </c>
      <c r="C15" s="141">
        <f>INDEX(main!$B$79:$C$99,MATCH(A15,main!$C$79:$C$99,-1)+1,2)</f>
        <v>52.496600000000001</v>
      </c>
      <c r="D15" s="141">
        <f>INDEX(main!$B$79:$C$99,MATCH(A15,main!$C$79:$C$99,-1),1)</f>
        <v>5.5849999999999997E-2</v>
      </c>
      <c r="E15" s="141">
        <f>INDEX(main!$B$79:$C$99,MATCH(A15,main!$C$79:$C$99,-1)+1,1)</f>
        <v>4.1360000000000001E-2</v>
      </c>
      <c r="F15" s="175" cm="1">
        <f t="array" ref="F15">IF(ISERROR(E15)=FALSE,ROUND(10^TREND(LOG10(D15:E15),B15:C15,A15),3),"---")</f>
        <v>5.1999999999999998E-2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52.496600000000001</v>
      </c>
      <c r="C16" s="178">
        <f>INDEX(main!$B$79:$C$99,MATCH(A16,main!$C$79:$C$99,-1)+1,2)</f>
        <v>44.566600000000001</v>
      </c>
      <c r="D16" s="178">
        <f>INDEX(main!$B$79:$C$99,MATCH(A16,main!$C$79:$C$99,-1),1)</f>
        <v>4.1360000000000001E-2</v>
      </c>
      <c r="E16" s="178">
        <f>INDEX(main!$B$79:$C$99,MATCH(A16,main!$C$79:$C$99,-1)+1,1)</f>
        <v>3.0259999999999999E-2</v>
      </c>
      <c r="F16" s="179" cm="1">
        <f t="array" ref="F16">IF(ISERROR(E16)=FALSE,ROUND(10^TREND(LOG10(D16:E16),B16:C16,A16),3),"---")</f>
        <v>3.6999999999999998E-2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49" zoomScaleNormal="100" zoomScaleSheetLayoutView="100" workbookViewId="0">
      <selection activeCell="D67" sqref="D67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61" t="s">
        <v>45</v>
      </c>
      <c r="G8" s="291" t="str">
        <f>main!G8</f>
        <v>NE-003 (28+5B) MULTISTORIED COMMERCIAL BUILDING</v>
      </c>
      <c r="H8" s="291"/>
      <c r="I8" s="291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61"/>
      <c r="G9" s="291"/>
      <c r="H9" s="291"/>
      <c r="I9" s="291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61"/>
      <c r="G10" s="291"/>
      <c r="H10" s="291"/>
      <c r="I10" s="291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61"/>
      <c r="G11" s="291"/>
      <c r="H11" s="291"/>
      <c r="I11" s="291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92" t="s">
        <v>100</v>
      </c>
      <c r="G13" s="291" t="str">
        <f>main!G13</f>
        <v>ASTM D422, D854, D1140, D6913, D7928</v>
      </c>
      <c r="H13" s="291"/>
      <c r="I13" s="291"/>
    </row>
    <row r="14" spans="1:9" x14ac:dyDescent="0.25">
      <c r="A14" s="98" t="s">
        <v>102</v>
      </c>
      <c r="B14" s="89"/>
      <c r="C14" s="106"/>
      <c r="D14" s="293" t="str">
        <f>main!D14</f>
        <v>Red Silty Clay</v>
      </c>
      <c r="E14" s="293"/>
      <c r="F14" s="292"/>
      <c r="G14" s="291"/>
      <c r="H14" s="291"/>
      <c r="I14" s="291"/>
    </row>
    <row r="15" spans="1:9" ht="15.5" x14ac:dyDescent="0.35">
      <c r="B15" s="81"/>
      <c r="C15" s="23"/>
      <c r="D15" s="293"/>
      <c r="E15" s="293"/>
      <c r="G15" s="1"/>
    </row>
    <row r="16" spans="1:9" ht="17.25" customHeight="1" x14ac:dyDescent="0.25">
      <c r="A16" s="290" t="s">
        <v>95</v>
      </c>
      <c r="B16" s="290"/>
      <c r="C16" s="290"/>
      <c r="D16" s="290"/>
      <c r="E16" s="290"/>
      <c r="F16" s="290"/>
      <c r="G16" s="290"/>
      <c r="H16" s="290"/>
      <c r="I16" s="290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>
        <f>'Some Calculations'!F13</f>
        <v>1E-3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0.6</v>
      </c>
      <c r="D38" s="143" t="s">
        <v>125</v>
      </c>
      <c r="E38" s="143" t="s">
        <v>136</v>
      </c>
      <c r="F38" s="145">
        <f>'Some Calculations'!F14</f>
        <v>1.2E-2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20.100000000000001</v>
      </c>
      <c r="D39" s="143" t="s">
        <v>125</v>
      </c>
      <c r="E39" s="143" t="s">
        <v>137</v>
      </c>
      <c r="F39" s="145">
        <f>'Some Calculations'!F15</f>
        <v>5.1999999999999998E-2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58.34</v>
      </c>
      <c r="D40" s="143" t="s">
        <v>125</v>
      </c>
      <c r="E40" s="143" t="s">
        <v>134</v>
      </c>
      <c r="F40" s="143"/>
      <c r="G40" s="143"/>
      <c r="H40" s="172">
        <f>'Some Calculations'!G14</f>
        <v>52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20.96</v>
      </c>
      <c r="D41" s="143" t="s">
        <v>125</v>
      </c>
      <c r="E41" s="143" t="s">
        <v>133</v>
      </c>
      <c r="F41" s="143"/>
      <c r="G41" s="143"/>
      <c r="H41" s="172">
        <f>'Some Calculations'!H14</f>
        <v>2.77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3.6999999999999998E-2</v>
      </c>
      <c r="D42" s="182" t="s">
        <v>8</v>
      </c>
      <c r="E42" s="143" t="s">
        <v>151</v>
      </c>
      <c r="F42" s="143"/>
      <c r="G42" s="144"/>
      <c r="H42" s="143">
        <f>main!GS</f>
        <v>2.65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2022-02-24T06:57:17Z</dcterms:modified>
</cp:coreProperties>
</file>