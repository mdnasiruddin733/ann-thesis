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dnas\Desktop\ANN excel Sheet\"/>
    </mc:Choice>
  </mc:AlternateContent>
  <xr:revisionPtr revIDLastSave="0" documentId="13_ncr:1_{EE6C3F1F-8A33-434D-811E-0E16602B6B79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input-output" sheetId="33" r:id="rId1"/>
    <sheet name="output-table" sheetId="34" r:id="rId2"/>
    <sheet name="main" sheetId="30" state="hidden" r:id="rId3"/>
    <sheet name="Some Calculations" sheetId="32" state="hidden" r:id="rId4"/>
    <sheet name="Report" sheetId="31" r:id="rId5"/>
  </sheets>
  <externalReferences>
    <externalReference r:id="rId6"/>
  </externalReferences>
  <definedNames>
    <definedName name="Agrad" localSheetId="2">main!$U$28</definedName>
    <definedName name="Agrad" localSheetId="4">Report!#REF!</definedName>
    <definedName name="Agrad">#REF!</definedName>
    <definedName name="GS" localSheetId="2">main!$E$70</definedName>
    <definedName name="GS" localSheetId="4">Report!#REF!</definedName>
    <definedName name="GS">#REF!</definedName>
    <definedName name="Ltwo" localSheetId="2">main!$P$28</definedName>
    <definedName name="Ltwo" localSheetId="4">Report!#REF!</definedName>
    <definedName name="Ltwo">#REF!</definedName>
    <definedName name="_xlnm.Print_Area" localSheetId="2">main!$A$1:$I$50</definedName>
    <definedName name="_xlnm.Print_Area" localSheetId="4">Report!$A$1:$Q$55</definedName>
    <definedName name="Vb" localSheetId="2">main!$Q$29</definedName>
    <definedName name="Vb" localSheetId="4">Report!#REF!</definedName>
    <definedName name="V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8" i="33" l="1"/>
  <c r="N27" i="33"/>
  <c r="E28" i="33"/>
  <c r="E29" i="33"/>
  <c r="D28" i="33"/>
  <c r="G28" i="33"/>
  <c r="E30" i="33" l="1"/>
  <c r="F28" i="33" l="1"/>
  <c r="M36" i="30" l="1"/>
  <c r="M37" i="30"/>
  <c r="M38" i="30"/>
  <c r="M39" i="30"/>
  <c r="M40" i="30"/>
  <c r="M41" i="30"/>
  <c r="M42" i="30"/>
  <c r="M43" i="30"/>
  <c r="M44" i="30"/>
  <c r="M45" i="30"/>
  <c r="M46" i="30"/>
  <c r="M47" i="30"/>
  <c r="M48" i="30"/>
  <c r="M49" i="30"/>
  <c r="J3" i="34"/>
  <c r="J4" i="34" s="1"/>
  <c r="J5" i="34" s="1"/>
  <c r="J6" i="34" s="1"/>
  <c r="J7" i="34" s="1"/>
  <c r="J8" i="34" s="1"/>
  <c r="J9" i="34" s="1"/>
  <c r="J10" i="34" s="1"/>
  <c r="J11" i="34" s="1"/>
  <c r="J12" i="34" s="1"/>
  <c r="J13" i="34" s="1"/>
  <c r="J14" i="34" s="1"/>
  <c r="J15" i="34" s="1"/>
  <c r="J16" i="34" s="1"/>
  <c r="J17" i="34" s="1"/>
  <c r="J18" i="34" s="1"/>
  <c r="J19" i="34" s="1"/>
  <c r="J20" i="34" s="1"/>
  <c r="J21" i="34" s="1"/>
  <c r="J22" i="34" s="1"/>
  <c r="J23" i="34" s="1"/>
  <c r="J24" i="34" s="1"/>
  <c r="J25" i="34" s="1"/>
  <c r="J26" i="34" s="1"/>
  <c r="J27" i="34" s="1"/>
  <c r="J28" i="34" s="1"/>
  <c r="J29" i="34" s="1"/>
  <c r="J30" i="34" s="1"/>
  <c r="J31" i="34" s="1"/>
  <c r="J32" i="34" s="1"/>
  <c r="J33" i="34" s="1"/>
  <c r="J34" i="34" s="1"/>
  <c r="J35" i="34" s="1"/>
  <c r="J36" i="34" s="1"/>
  <c r="J37" i="34" s="1"/>
  <c r="J38" i="34" s="1"/>
  <c r="J39" i="34" s="1"/>
  <c r="J40" i="34" s="1"/>
  <c r="J41" i="34" s="1"/>
  <c r="J55" i="34" s="1"/>
  <c r="J56" i="34" s="1"/>
  <c r="J57" i="34" s="1"/>
  <c r="J58" i="34" s="1"/>
  <c r="J59" i="34" s="1"/>
  <c r="J60" i="34" s="1"/>
  <c r="J61" i="34" s="1"/>
  <c r="J62" i="34" s="1"/>
  <c r="J63" i="34" s="1"/>
  <c r="J64" i="34" s="1"/>
  <c r="J65" i="34" s="1"/>
  <c r="J66" i="34" s="1"/>
  <c r="J67" i="34" s="1"/>
  <c r="J68" i="34" s="1"/>
  <c r="J69" i="34" s="1"/>
  <c r="J70" i="34" s="1"/>
  <c r="J71" i="34" s="1"/>
  <c r="J72" i="34" s="1"/>
  <c r="J73" i="34" s="1"/>
  <c r="J74" i="34" s="1"/>
  <c r="J75" i="34" s="1"/>
  <c r="J76" i="34" s="1"/>
  <c r="J77" i="34" s="1"/>
  <c r="J78" i="34" s="1"/>
  <c r="J79" i="34" s="1"/>
  <c r="J80" i="34" s="1"/>
  <c r="J81" i="34" s="1"/>
  <c r="J82" i="34" s="1"/>
  <c r="J83" i="34" s="1"/>
  <c r="J84" i="34" s="1"/>
  <c r="J85" i="34" s="1"/>
  <c r="J86" i="34" s="1"/>
  <c r="J87" i="34" s="1"/>
  <c r="J88" i="34" s="1"/>
  <c r="J89" i="34" s="1"/>
  <c r="J90" i="34" s="1"/>
  <c r="J91" i="34" s="1"/>
  <c r="J92" i="34" s="1"/>
  <c r="J93" i="34" s="1"/>
  <c r="J94" i="34" s="1"/>
  <c r="J95" i="34" s="1"/>
  <c r="J96" i="34" s="1"/>
  <c r="J97" i="34" s="1"/>
  <c r="J98" i="34" s="1"/>
  <c r="J99" i="34" s="1"/>
  <c r="J100" i="34" s="1"/>
  <c r="J101" i="34" s="1"/>
  <c r="J102" i="34" s="1"/>
  <c r="J103" i="34" s="1"/>
  <c r="J104" i="34" s="1"/>
  <c r="J105" i="34" s="1"/>
  <c r="J106" i="34" s="1"/>
  <c r="J107" i="34" s="1"/>
  <c r="J108" i="34" s="1"/>
  <c r="J109" i="34" s="1"/>
  <c r="J110" i="34" s="1"/>
  <c r="J111" i="34" s="1"/>
  <c r="J112" i="34" s="1"/>
  <c r="J113" i="34" s="1"/>
  <c r="J114" i="34" s="1"/>
  <c r="J115" i="34" s="1"/>
  <c r="J116" i="34" s="1"/>
  <c r="J117" i="34" s="1"/>
  <c r="J118" i="34" s="1"/>
  <c r="J119" i="34" s="1"/>
  <c r="J120" i="34" s="1"/>
  <c r="J121" i="34" s="1"/>
  <c r="J122" i="34" s="1"/>
  <c r="J123" i="34" s="1"/>
  <c r="J124" i="34" s="1"/>
  <c r="J125" i="34" s="1"/>
  <c r="J126" i="34" s="1"/>
  <c r="J127" i="34" s="1"/>
  <c r="J128" i="34" s="1"/>
  <c r="J129" i="34" s="1"/>
  <c r="J130" i="34" s="1"/>
  <c r="J131" i="34" s="1"/>
  <c r="J132" i="34" s="1"/>
  <c r="J133" i="34" s="1"/>
  <c r="J134" i="34" s="1"/>
  <c r="J135" i="34" s="1"/>
  <c r="J136" i="34" s="1"/>
  <c r="J137" i="34" s="1"/>
  <c r="J138" i="34" s="1"/>
  <c r="J139" i="34" s="1"/>
  <c r="J140" i="34" s="1"/>
  <c r="J141" i="34" s="1"/>
  <c r="J142" i="34" s="1"/>
  <c r="J143" i="34" s="1"/>
  <c r="J144" i="34" s="1"/>
  <c r="J145" i="34" s="1"/>
  <c r="J146" i="34" s="1"/>
  <c r="J147" i="34" s="1"/>
  <c r="J148" i="34" s="1"/>
  <c r="J149" i="34" s="1"/>
  <c r="J150" i="34" s="1"/>
  <c r="J151" i="34" s="1"/>
  <c r="J152" i="34" s="1"/>
  <c r="J153" i="34" s="1"/>
  <c r="J154" i="34" s="1"/>
  <c r="J155" i="34" s="1"/>
  <c r="J156" i="34" s="1"/>
  <c r="J157" i="34" s="1"/>
  <c r="J158" i="34" s="1"/>
  <c r="J159" i="34" s="1"/>
  <c r="J160" i="34" s="1"/>
  <c r="J161" i="34" s="1"/>
  <c r="J162" i="34" s="1"/>
  <c r="J163" i="34" s="1"/>
  <c r="J164" i="34" s="1"/>
  <c r="J165" i="34" s="1"/>
  <c r="J166" i="34" s="1"/>
  <c r="J167" i="34" s="1"/>
  <c r="J168" i="34" s="1"/>
  <c r="J169" i="34" s="1"/>
  <c r="J170" i="34" s="1"/>
  <c r="J171" i="34" s="1"/>
  <c r="J172" i="34" s="1"/>
  <c r="J173" i="34" s="1"/>
  <c r="J174" i="34" s="1"/>
  <c r="J175" i="34" s="1"/>
  <c r="J176" i="34" s="1"/>
  <c r="J177" i="34" s="1"/>
  <c r="J178" i="34" s="1"/>
  <c r="J179" i="34" s="1"/>
  <c r="J180" i="34" s="1"/>
  <c r="J181" i="34" s="1"/>
  <c r="J182" i="34" s="1"/>
  <c r="J183" i="34" s="1"/>
  <c r="J184" i="34" s="1"/>
  <c r="J185" i="34" s="1"/>
  <c r="J186" i="34" s="1"/>
  <c r="J187" i="34" s="1"/>
  <c r="J188" i="34" s="1"/>
  <c r="J189" i="34" s="1"/>
  <c r="J190" i="34" s="1"/>
  <c r="J191" i="34" s="1"/>
  <c r="J192" i="34" s="1"/>
  <c r="J193" i="34" s="1"/>
  <c r="J194" i="34" s="1"/>
  <c r="J195" i="34" s="1"/>
  <c r="J196" i="34" s="1"/>
  <c r="J197" i="34" s="1"/>
  <c r="J198" i="34" s="1"/>
  <c r="J199" i="34" s="1"/>
  <c r="J200" i="34" s="1"/>
  <c r="J201" i="34" s="1"/>
  <c r="J202" i="34" s="1"/>
  <c r="J203" i="34" s="1"/>
  <c r="J204" i="34" s="1"/>
  <c r="J205" i="34" s="1"/>
  <c r="J206" i="34" s="1"/>
  <c r="J207" i="34" s="1"/>
  <c r="J208" i="34" s="1"/>
  <c r="J209" i="34" s="1"/>
  <c r="J210" i="34" s="1"/>
  <c r="J211" i="34" s="1"/>
  <c r="J212" i="34" s="1"/>
  <c r="J213" i="34" s="1"/>
  <c r="J214" i="34" s="1"/>
  <c r="J215" i="34" s="1"/>
  <c r="J216" i="34" s="1"/>
  <c r="J217" i="34" s="1"/>
  <c r="J218" i="34" s="1"/>
  <c r="J219" i="34" s="1"/>
  <c r="J220" i="34" s="1"/>
  <c r="J221" i="34" s="1"/>
  <c r="J222" i="34" s="1"/>
  <c r="J223" i="34" s="1"/>
  <c r="J224" i="34" s="1"/>
  <c r="J225" i="34" s="1"/>
  <c r="J226" i="34" s="1"/>
  <c r="J227" i="34" s="1"/>
  <c r="J228" i="34" s="1"/>
  <c r="J229" i="34" s="1"/>
  <c r="J230" i="34" s="1"/>
  <c r="J231" i="34" s="1"/>
  <c r="J232" i="34" s="1"/>
  <c r="J233" i="34" s="1"/>
  <c r="J234" i="34" s="1"/>
  <c r="J235" i="34" s="1"/>
  <c r="J236" i="34" s="1"/>
  <c r="J237" i="34" s="1"/>
  <c r="J238" i="34" s="1"/>
  <c r="J239" i="34" s="1"/>
  <c r="J240" i="34" s="1"/>
  <c r="J241" i="34" s="1"/>
  <c r="J242" i="34" s="1"/>
  <c r="J243" i="34" s="1"/>
  <c r="J244" i="34" s="1"/>
  <c r="J245" i="34" s="1"/>
  <c r="J246" i="34" s="1"/>
  <c r="J247" i="34" s="1"/>
  <c r="J248" i="34" s="1"/>
  <c r="J249" i="34" s="1"/>
  <c r="J250" i="34" s="1"/>
  <c r="J251" i="34" s="1"/>
  <c r="J252" i="34" s="1"/>
  <c r="J253" i="34" s="1"/>
  <c r="J254" i="34" s="1"/>
  <c r="J255" i="34" s="1"/>
  <c r="J256" i="34" s="1"/>
  <c r="J257" i="34" s="1"/>
  <c r="J258" i="34" s="1"/>
  <c r="J259" i="34" s="1"/>
  <c r="J260" i="34" s="1"/>
  <c r="J261" i="34" s="1"/>
  <c r="J262" i="34" s="1"/>
  <c r="J263" i="34" s="1"/>
  <c r="J264" i="34" s="1"/>
  <c r="J265" i="34" s="1"/>
  <c r="J266" i="34" s="1"/>
  <c r="J267" i="34" s="1"/>
  <c r="J268" i="34" s="1"/>
  <c r="J269" i="34" s="1"/>
  <c r="J270" i="34" s="1"/>
  <c r="J271" i="34" s="1"/>
  <c r="J272" i="34" s="1"/>
  <c r="J273" i="34" s="1"/>
  <c r="J274" i="34" s="1"/>
  <c r="J275" i="34" s="1"/>
  <c r="J276" i="34" s="1"/>
  <c r="J277" i="34" s="1"/>
  <c r="J278" i="34" s="1"/>
  <c r="J279" i="34" s="1"/>
  <c r="J280" i="34" s="1"/>
  <c r="J281" i="34" s="1"/>
  <c r="J282" i="34" s="1"/>
  <c r="J283" i="34" s="1"/>
  <c r="J284" i="34" s="1"/>
  <c r="J285" i="34" s="1"/>
  <c r="J286" i="34" s="1"/>
  <c r="J287" i="34" s="1"/>
  <c r="J288" i="34" s="1"/>
  <c r="J289" i="34" s="1"/>
  <c r="J290" i="34" s="1"/>
  <c r="J291" i="34" s="1"/>
  <c r="J292" i="34" s="1"/>
  <c r="J293" i="34" s="1"/>
  <c r="J294" i="34" s="1"/>
  <c r="J295" i="34" s="1"/>
  <c r="J296" i="34" s="1"/>
  <c r="J297" i="34" s="1"/>
  <c r="J298" i="34" s="1"/>
  <c r="J299" i="34" s="1"/>
  <c r="J300" i="34" s="1"/>
  <c r="J301" i="34" s="1"/>
  <c r="J302" i="34" s="1"/>
  <c r="J303" i="34" s="1"/>
  <c r="J304" i="34" s="1"/>
  <c r="J305" i="34" s="1"/>
  <c r="J306" i="34" s="1"/>
  <c r="J307" i="34" s="1"/>
  <c r="J308" i="34" s="1"/>
  <c r="J309" i="34" s="1"/>
  <c r="J310" i="34" s="1"/>
  <c r="J311" i="34" s="1"/>
  <c r="J312" i="34" s="1"/>
  <c r="J313" i="34" s="1"/>
  <c r="J314" i="34" s="1"/>
  <c r="J315" i="34" s="1"/>
  <c r="J316" i="34" s="1"/>
  <c r="J317" i="34" s="1"/>
  <c r="J318" i="34" s="1"/>
  <c r="J319" i="34" s="1"/>
  <c r="J320" i="34" s="1"/>
  <c r="J321" i="34" s="1"/>
  <c r="J322" i="34" s="1"/>
  <c r="J323" i="34" s="1"/>
  <c r="J324" i="34" s="1"/>
  <c r="J325" i="34" s="1"/>
  <c r="J326" i="34" s="1"/>
  <c r="J327" i="34" s="1"/>
  <c r="J328" i="34" s="1"/>
  <c r="J329" i="34" s="1"/>
  <c r="J330" i="34" s="1"/>
  <c r="J331" i="34" s="1"/>
  <c r="J332" i="34" s="1"/>
  <c r="J333" i="34" s="1"/>
  <c r="J334" i="34" s="1"/>
  <c r="J335" i="34" s="1"/>
  <c r="J336" i="34" s="1"/>
  <c r="J337" i="34" s="1"/>
  <c r="J338" i="34" s="1"/>
  <c r="J339" i="34" s="1"/>
  <c r="J340" i="34" s="1"/>
  <c r="J341" i="34" s="1"/>
  <c r="J342" i="34" s="1"/>
  <c r="J343" i="34" s="1"/>
  <c r="J344" i="34" s="1"/>
  <c r="J345" i="34" s="1"/>
  <c r="J346" i="34" s="1"/>
  <c r="J347" i="34" s="1"/>
  <c r="J348" i="34" s="1"/>
  <c r="J349" i="34" s="1"/>
  <c r="J350" i="34" s="1"/>
  <c r="J351" i="34" s="1"/>
  <c r="D16" i="33"/>
  <c r="D17" i="33"/>
  <c r="D18" i="33"/>
  <c r="D19" i="33"/>
  <c r="E16" i="33"/>
  <c r="O28" i="33"/>
  <c r="N28" i="33"/>
  <c r="M28" i="33"/>
  <c r="O27" i="33"/>
  <c r="M27" i="33"/>
  <c r="H29" i="33"/>
  <c r="G29" i="33"/>
  <c r="F29" i="33"/>
  <c r="D29" i="33"/>
  <c r="E19" i="33" l="1"/>
  <c r="E18" i="33"/>
  <c r="E17" i="33"/>
  <c r="D30" i="33"/>
  <c r="O29" i="33"/>
  <c r="F30" i="33"/>
  <c r="H30" i="33"/>
  <c r="M29" i="33"/>
  <c r="G30" i="33"/>
  <c r="N29" i="33"/>
  <c r="E68" i="30" l="1"/>
  <c r="E67" i="30"/>
  <c r="E66" i="30"/>
  <c r="E65" i="30"/>
  <c r="E64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35" i="30"/>
  <c r="M35" i="30"/>
  <c r="L36" i="30"/>
  <c r="L37" i="30"/>
  <c r="L38" i="30"/>
  <c r="L39" i="30"/>
  <c r="L40" i="30"/>
  <c r="L41" i="30"/>
  <c r="L42" i="30"/>
  <c r="L43" i="30"/>
  <c r="L44" i="30"/>
  <c r="L45" i="30"/>
  <c r="L46" i="30"/>
  <c r="L47" i="30"/>
  <c r="L48" i="30"/>
  <c r="L49" i="30"/>
  <c r="L35" i="30"/>
  <c r="V31" i="30"/>
  <c r="L31" i="30"/>
  <c r="L16" i="30"/>
  <c r="L17" i="30"/>
  <c r="L18" i="30"/>
  <c r="L19" i="30"/>
  <c r="L20" i="30"/>
  <c r="L21" i="30"/>
  <c r="L22" i="30"/>
  <c r="L15" i="30"/>
  <c r="M15" i="30" s="1"/>
  <c r="L12" i="33"/>
  <c r="B79" i="30"/>
  <c r="B80" i="30"/>
  <c r="B81" i="30"/>
  <c r="B82" i="30"/>
  <c r="B83" i="30"/>
  <c r="B84" i="30"/>
  <c r="B85" i="30"/>
  <c r="L13" i="33" l="1"/>
  <c r="E70" i="30" s="1"/>
  <c r="V27" i="30" s="1"/>
  <c r="E69" i="30"/>
  <c r="G13" i="31"/>
  <c r="G12" i="31"/>
  <c r="G8" i="31"/>
  <c r="D14" i="31"/>
  <c r="C13" i="31"/>
  <c r="C12" i="31"/>
  <c r="C11" i="31"/>
  <c r="B10" i="31"/>
  <c r="B9" i="31"/>
  <c r="B8" i="31"/>
  <c r="G48" i="31"/>
  <c r="G49" i="31"/>
  <c r="G50" i="31"/>
  <c r="G47" i="31"/>
  <c r="A48" i="31"/>
  <c r="A49" i="31"/>
  <c r="A50" i="31"/>
  <c r="A47" i="31"/>
  <c r="I9" i="32" l="1"/>
  <c r="E5" i="32"/>
  <c r="E6" i="32"/>
  <c r="E4" i="32"/>
  <c r="D5" i="32"/>
  <c r="D6" i="32"/>
  <c r="D7" i="32"/>
  <c r="D4" i="32"/>
  <c r="L121" i="30" l="1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H42" i="31"/>
  <c r="L68" i="30"/>
  <c r="L67" i="30"/>
  <c r="U49" i="30"/>
  <c r="T49" i="30"/>
  <c r="R49" i="30"/>
  <c r="S49" i="30" s="1"/>
  <c r="O49" i="30"/>
  <c r="U48" i="30"/>
  <c r="T48" i="30"/>
  <c r="R48" i="30"/>
  <c r="S48" i="30" s="1"/>
  <c r="O48" i="30"/>
  <c r="W47" i="30"/>
  <c r="U47" i="30"/>
  <c r="T47" i="30"/>
  <c r="R47" i="30"/>
  <c r="S47" i="30" s="1"/>
  <c r="O47" i="30"/>
  <c r="U46" i="30"/>
  <c r="T46" i="30"/>
  <c r="R46" i="30"/>
  <c r="S46" i="30" s="1"/>
  <c r="O46" i="30"/>
  <c r="U45" i="30"/>
  <c r="T45" i="30"/>
  <c r="R45" i="30"/>
  <c r="S45" i="30" s="1"/>
  <c r="O45" i="30"/>
  <c r="U44" i="30"/>
  <c r="T44" i="30"/>
  <c r="R44" i="30"/>
  <c r="S44" i="30" s="1"/>
  <c r="O44" i="30"/>
  <c r="U43" i="30"/>
  <c r="T43" i="30"/>
  <c r="R43" i="30"/>
  <c r="S43" i="30" s="1"/>
  <c r="O43" i="30"/>
  <c r="U42" i="30"/>
  <c r="T42" i="30"/>
  <c r="R42" i="30"/>
  <c r="S42" i="30" s="1"/>
  <c r="O42" i="30"/>
  <c r="U41" i="30"/>
  <c r="T41" i="30"/>
  <c r="R41" i="30"/>
  <c r="S41" i="30" s="1"/>
  <c r="O41" i="30"/>
  <c r="U40" i="30"/>
  <c r="T40" i="30"/>
  <c r="R40" i="30"/>
  <c r="S40" i="30" s="1"/>
  <c r="O40" i="30"/>
  <c r="U39" i="30"/>
  <c r="T39" i="30"/>
  <c r="R39" i="30"/>
  <c r="S39" i="30" s="1"/>
  <c r="O39" i="30"/>
  <c r="U38" i="30"/>
  <c r="T38" i="30"/>
  <c r="R38" i="30"/>
  <c r="S38" i="30" s="1"/>
  <c r="O38" i="30"/>
  <c r="U37" i="30"/>
  <c r="T37" i="30"/>
  <c r="R37" i="30"/>
  <c r="S37" i="30" s="1"/>
  <c r="O37" i="30"/>
  <c r="U36" i="30"/>
  <c r="T36" i="30"/>
  <c r="R36" i="30"/>
  <c r="S36" i="30" s="1"/>
  <c r="O36" i="30"/>
  <c r="U35" i="30"/>
  <c r="T35" i="30"/>
  <c r="R35" i="30"/>
  <c r="S35" i="30" s="1"/>
  <c r="O35" i="30"/>
  <c r="M22" i="30"/>
  <c r="M21" i="30"/>
  <c r="M20" i="30"/>
  <c r="M19" i="30"/>
  <c r="M18" i="30"/>
  <c r="M17" i="30"/>
  <c r="M16" i="30"/>
  <c r="V35" i="30" l="1"/>
  <c r="V36" i="30"/>
  <c r="B86" i="30" s="1"/>
  <c r="V38" i="30"/>
  <c r="B88" i="30" s="1"/>
  <c r="V40" i="30"/>
  <c r="B90" i="30" s="1"/>
  <c r="V48" i="30"/>
  <c r="B98" i="30" s="1"/>
  <c r="V39" i="30"/>
  <c r="B89" i="30" s="1"/>
  <c r="V37" i="30"/>
  <c r="B87" i="30" s="1"/>
  <c r="N22" i="30"/>
  <c r="V41" i="30"/>
  <c r="B91" i="30" s="1"/>
  <c r="V49" i="30"/>
  <c r="B99" i="30" s="1"/>
  <c r="V47" i="30"/>
  <c r="B97" i="30" s="1"/>
  <c r="V46" i="30"/>
  <c r="B96" i="30" s="1"/>
  <c r="V45" i="30"/>
  <c r="B95" i="30" s="1"/>
  <c r="V44" i="30"/>
  <c r="B94" i="30" s="1"/>
  <c r="P52" i="30"/>
  <c r="P36" i="30" s="1"/>
  <c r="V42" i="30"/>
  <c r="B92" i="30" s="1"/>
  <c r="V43" i="30"/>
  <c r="B93" i="30" s="1"/>
  <c r="N15" i="30"/>
  <c r="O15" i="30" s="1"/>
  <c r="C79" i="30" s="1"/>
  <c r="N17" i="30"/>
  <c r="O17" i="30" s="1"/>
  <c r="C81" i="30" s="1"/>
  <c r="G5" i="32" s="1"/>
  <c r="N19" i="30"/>
  <c r="O19" i="30" s="1"/>
  <c r="C83" i="30" s="1"/>
  <c r="N21" i="30"/>
  <c r="O21" i="30" s="1"/>
  <c r="N16" i="30"/>
  <c r="O16" i="30" s="1"/>
  <c r="C80" i="30" s="1"/>
  <c r="N18" i="30"/>
  <c r="O18" i="30" s="1"/>
  <c r="C82" i="30" s="1"/>
  <c r="F6" i="32" s="1"/>
  <c r="N20" i="30"/>
  <c r="O20" i="30" s="1"/>
  <c r="C84" i="30" s="1"/>
  <c r="C85" i="30" l="1"/>
  <c r="F7" i="32" s="1"/>
  <c r="G6" i="32"/>
  <c r="H6" i="32" s="1" a="1"/>
  <c r="H6" i="32" s="1"/>
  <c r="F5" i="32"/>
  <c r="H5" i="32" s="1" a="1"/>
  <c r="H5" i="32" s="1"/>
  <c r="G4" i="32"/>
  <c r="F4" i="32"/>
  <c r="E9" i="32"/>
  <c r="D9" i="32"/>
  <c r="D8" i="32"/>
  <c r="E7" i="32"/>
  <c r="E8" i="32"/>
  <c r="P41" i="30"/>
  <c r="Q41" i="30" s="1"/>
  <c r="C91" i="30" s="1"/>
  <c r="P48" i="30"/>
  <c r="Q48" i="30" s="1"/>
  <c r="C98" i="30" s="1"/>
  <c r="P37" i="30"/>
  <c r="Q37" i="30" s="1"/>
  <c r="C87" i="30" s="1"/>
  <c r="Q36" i="30"/>
  <c r="P39" i="30"/>
  <c r="Q39" i="30" s="1"/>
  <c r="C89" i="30" s="1"/>
  <c r="P35" i="30"/>
  <c r="Q35" i="30" s="1"/>
  <c r="P44" i="30"/>
  <c r="Q44" i="30" s="1"/>
  <c r="C94" i="30" s="1"/>
  <c r="P42" i="30"/>
  <c r="Q42" i="30" s="1"/>
  <c r="C92" i="30" s="1"/>
  <c r="P40" i="30"/>
  <c r="Q40" i="30" s="1"/>
  <c r="C90" i="30" s="1"/>
  <c r="P47" i="30"/>
  <c r="Q47" i="30" s="1"/>
  <c r="C97" i="30" s="1"/>
  <c r="P46" i="30"/>
  <c r="Q46" i="30" s="1"/>
  <c r="C96" i="30" s="1"/>
  <c r="P45" i="30"/>
  <c r="Q45" i="30" s="1"/>
  <c r="C95" i="30" s="1"/>
  <c r="P49" i="30"/>
  <c r="Q49" i="30" s="1"/>
  <c r="C99" i="30" s="1"/>
  <c r="P43" i="30"/>
  <c r="Q43" i="30" s="1"/>
  <c r="C93" i="30" s="1"/>
  <c r="P38" i="30"/>
  <c r="Q38" i="30" s="1"/>
  <c r="C88" i="30" s="1"/>
  <c r="C86" i="30" l="1"/>
  <c r="E16" i="32" s="1"/>
  <c r="H4" i="32" a="1"/>
  <c r="H4" i="32" s="1"/>
  <c r="F8" i="32"/>
  <c r="F9" i="32"/>
  <c r="I5" i="32"/>
  <c r="J5" i="32" s="1"/>
  <c r="C38" i="31" s="1"/>
  <c r="I4" i="32"/>
  <c r="D15" i="32" l="1"/>
  <c r="G8" i="32"/>
  <c r="H8" i="32" s="1" a="1"/>
  <c r="H8" i="32" s="1"/>
  <c r="I7" i="32" s="1"/>
  <c r="G9" i="32"/>
  <c r="H9" i="32" s="1" a="1"/>
  <c r="H9" i="32" s="1"/>
  <c r="I8" i="32" s="1"/>
  <c r="C13" i="32"/>
  <c r="C14" i="32"/>
  <c r="D13" i="32"/>
  <c r="C15" i="32"/>
  <c r="G7" i="32"/>
  <c r="E14" i="32"/>
  <c r="B14" i="32"/>
  <c r="B15" i="32"/>
  <c r="B16" i="32"/>
  <c r="C16" i="32"/>
  <c r="D14" i="32"/>
  <c r="E13" i="32"/>
  <c r="B13" i="32"/>
  <c r="E15" i="32"/>
  <c r="D16" i="32"/>
  <c r="J4" i="32"/>
  <c r="C37" i="31" s="1"/>
  <c r="J8" i="32" l="1"/>
  <c r="F13" i="32" a="1"/>
  <c r="F13" i="32" s="1"/>
  <c r="F37" i="31" s="1"/>
  <c r="F15" i="32" a="1"/>
  <c r="F15" i="32" s="1"/>
  <c r="F39" i="31" s="1"/>
  <c r="F14" i="32" a="1"/>
  <c r="F14" i="32" s="1"/>
  <c r="F38" i="31" s="1"/>
  <c r="J9" i="32"/>
  <c r="H7" i="32" a="1"/>
  <c r="H7" i="32" s="1"/>
  <c r="F16" i="32" a="1"/>
  <c r="F16" i="32" s="1"/>
  <c r="C42" i="31" s="1"/>
  <c r="L8" i="32" l="1"/>
  <c r="C41" i="31" s="1"/>
  <c r="L36" i="33" s="1"/>
  <c r="H14" i="32"/>
  <c r="H41" i="31" s="1"/>
  <c r="O36" i="33" s="1"/>
  <c r="G14" i="32"/>
  <c r="H40" i="31" s="1"/>
  <c r="P36" i="33" s="1"/>
  <c r="J7" i="32"/>
  <c r="C40" i="31" s="1"/>
  <c r="K36" i="33" s="1"/>
  <c r="I6" i="32"/>
  <c r="J6" i="32" s="1"/>
  <c r="C39" i="31" s="1"/>
  <c r="J36" i="33" s="1"/>
  <c r="I36" i="33" l="1"/>
  <c r="M36" i="33" l="1"/>
  <c r="N36" i="3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<sst xmlns="http://schemas.openxmlformats.org/spreadsheetml/2006/main" count="434" uniqueCount="220">
  <si>
    <t>Date</t>
  </si>
  <si>
    <t>Temp.</t>
  </si>
  <si>
    <r>
      <t>0</t>
    </r>
    <r>
      <rPr>
        <sz val="8"/>
        <rFont val="Arial"/>
        <family val="2"/>
      </rPr>
      <t>C</t>
    </r>
  </si>
  <si>
    <t>D in</t>
  </si>
  <si>
    <t>R</t>
  </si>
  <si>
    <t>gm/cc</t>
  </si>
  <si>
    <t>Viscosity of water</t>
  </si>
  <si>
    <r>
      <t xml:space="preserve">Temp. 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C</t>
    </r>
  </si>
  <si>
    <t>mm</t>
  </si>
  <si>
    <t>Water densities</t>
  </si>
  <si>
    <t>Density,</t>
  </si>
  <si>
    <t>Opening</t>
  </si>
  <si>
    <t>Wt.of soil</t>
  </si>
  <si>
    <t>% of soil</t>
  </si>
  <si>
    <t>Cum. %</t>
  </si>
  <si>
    <t>% finer</t>
  </si>
  <si>
    <t>gm</t>
  </si>
  <si>
    <t>retained</t>
  </si>
  <si>
    <r>
      <t>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>=</t>
    </r>
  </si>
  <si>
    <t>Hydrometer Analysis data</t>
  </si>
  <si>
    <t>Sieve analysis data</t>
  </si>
  <si>
    <t>Specific gravity of soil</t>
  </si>
  <si>
    <r>
      <t>Wt. Of bottle + water+soil (W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>), gm =</t>
    </r>
  </si>
  <si>
    <r>
      <t>Temperature of test (</t>
    </r>
    <r>
      <rPr>
        <vertAlign val="superscript"/>
        <sz val="8"/>
        <rFont val="Arial"/>
        <family val="2"/>
      </rPr>
      <t>o</t>
    </r>
    <r>
      <rPr>
        <sz val="8"/>
        <rFont val="Arial"/>
        <family val="2"/>
      </rPr>
      <t>C) =</t>
    </r>
  </si>
  <si>
    <r>
      <t>Wt. Of bottle + water (W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), gm =</t>
    </r>
  </si>
  <si>
    <r>
      <t>Wt. Of soil (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), gm =</t>
    </r>
  </si>
  <si>
    <t>Specific gravity of water at T =</t>
  </si>
  <si>
    <t>Specific gravity of soil solids=</t>
  </si>
  <si>
    <t>Clock Time</t>
  </si>
  <si>
    <r>
      <t>R</t>
    </r>
    <r>
      <rPr>
        <vertAlign val="subscript"/>
        <sz val="8"/>
        <rFont val="Arial"/>
        <family val="2"/>
      </rPr>
      <t>a</t>
    </r>
  </si>
  <si>
    <r>
      <t>R</t>
    </r>
    <r>
      <rPr>
        <vertAlign val="subscript"/>
        <sz val="8"/>
        <rFont val="Arial"/>
        <family val="2"/>
      </rPr>
      <t>c</t>
    </r>
  </si>
  <si>
    <t>Corrected hydrometer reading</t>
  </si>
  <si>
    <t>N</t>
  </si>
  <si>
    <t>Hyd.reading Corr. only for miniscus</t>
  </si>
  <si>
    <t>L, cm</t>
  </si>
  <si>
    <t>cm</t>
  </si>
  <si>
    <r>
      <t>A</t>
    </r>
    <r>
      <rPr>
        <vertAlign val="subscript"/>
        <sz val="8"/>
        <rFont val="Arial"/>
        <family val="2"/>
      </rPr>
      <t>grad</t>
    </r>
    <r>
      <rPr>
        <sz val="8"/>
        <rFont val="Arial"/>
        <family val="2"/>
      </rPr>
      <t xml:space="preserve"> = </t>
    </r>
  </si>
  <si>
    <t>Elapsed time</t>
  </si>
  <si>
    <t>t, min.</t>
  </si>
  <si>
    <r>
      <t>Poise=(dyne X sec. / 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>)</t>
    </r>
  </si>
  <si>
    <t>Sp.Gr.of water</t>
  </si>
  <si>
    <t>Actual hyd. reading</t>
  </si>
  <si>
    <r>
      <t>G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 xml:space="preserve"> </t>
    </r>
  </si>
  <si>
    <t>D, mm</t>
  </si>
  <si>
    <t>Grain diameter</t>
  </si>
  <si>
    <t>Project :</t>
  </si>
  <si>
    <t>Sieve</t>
  </si>
  <si>
    <t>no.</t>
  </si>
  <si>
    <t>Pan</t>
  </si>
  <si>
    <t>-</t>
  </si>
  <si>
    <t xml:space="preserve">Hydrometer Type : </t>
  </si>
  <si>
    <t>ASTM 152H</t>
  </si>
  <si>
    <t>Hydrometer no. :</t>
  </si>
  <si>
    <t>Dispersing agent :</t>
  </si>
  <si>
    <t>Zero correction :</t>
  </si>
  <si>
    <r>
      <t>Sp. gravity of soil, G</t>
    </r>
    <r>
      <rPr>
        <b/>
        <vertAlign val="subscript"/>
        <sz val="8"/>
        <rFont val="Arial"/>
        <family val="2"/>
      </rPr>
      <t>s</t>
    </r>
    <r>
      <rPr>
        <b/>
        <sz val="8"/>
        <rFont val="Arial"/>
        <family val="2"/>
      </rPr>
      <t xml:space="preserve"> :</t>
    </r>
  </si>
  <si>
    <t xml:space="preserve"> (hydrometer reading in water with dispersing agent only)</t>
  </si>
  <si>
    <t>Meniscus correction:</t>
  </si>
  <si>
    <t>For R =</t>
  </si>
  <si>
    <r>
      <t>L</t>
    </r>
    <r>
      <rPr>
        <b/>
        <vertAlign val="subscript"/>
        <sz val="8"/>
        <rFont val="Arial"/>
        <family val="2"/>
      </rPr>
      <t>1</t>
    </r>
    <r>
      <rPr>
        <b/>
        <sz val="8"/>
        <rFont val="Arial"/>
        <family val="2"/>
      </rPr>
      <t xml:space="preserve"> =</t>
    </r>
  </si>
  <si>
    <r>
      <t>L</t>
    </r>
    <r>
      <rPr>
        <b/>
        <vertAlign val="subscript"/>
        <sz val="8"/>
        <rFont val="Arial"/>
        <family val="2"/>
      </rPr>
      <t>2</t>
    </r>
    <r>
      <rPr>
        <b/>
        <sz val="8"/>
        <rFont val="Arial"/>
        <family val="2"/>
      </rPr>
      <t xml:space="preserve"> =</t>
    </r>
  </si>
  <si>
    <r>
      <t>cm</t>
    </r>
    <r>
      <rPr>
        <vertAlign val="superscript"/>
        <sz val="8"/>
        <rFont val="Arial"/>
        <family val="2"/>
      </rPr>
      <t>3</t>
    </r>
  </si>
  <si>
    <r>
      <t>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 xml:space="preserve"> </t>
    </r>
  </si>
  <si>
    <r>
      <t>Vol. of bulb, V</t>
    </r>
    <r>
      <rPr>
        <b/>
        <vertAlign val="subscript"/>
        <sz val="8"/>
        <rFont val="Arial"/>
        <family val="2"/>
      </rPr>
      <t>b</t>
    </r>
    <r>
      <rPr>
        <b/>
        <sz val="8"/>
        <rFont val="Arial"/>
        <family val="2"/>
      </rPr>
      <t xml:space="preserve"> =</t>
    </r>
  </si>
  <si>
    <t>Vol. Of suspension =</t>
  </si>
  <si>
    <t>1000 cc</t>
  </si>
  <si>
    <t>% Finer (% of portion finer than #200 sieve only)</t>
  </si>
  <si>
    <t>% Finer (comb-ined)</t>
  </si>
  <si>
    <t>Effec-tive depth</t>
  </si>
  <si>
    <r>
      <t>R</t>
    </r>
    <r>
      <rPr>
        <vertAlign val="subscript"/>
        <sz val="8"/>
        <rFont val="Arial"/>
        <family val="2"/>
      </rPr>
      <t>c</t>
    </r>
    <r>
      <rPr>
        <sz val="8"/>
        <rFont val="Arial"/>
        <family val="2"/>
      </rPr>
      <t xml:space="preserve"> = R</t>
    </r>
    <r>
      <rPr>
        <vertAlign val="subscript"/>
        <sz val="8"/>
        <rFont val="Arial"/>
        <family val="2"/>
      </rPr>
      <t>a</t>
    </r>
    <r>
      <rPr>
        <sz val="8"/>
        <rFont val="Arial"/>
        <family val="2"/>
      </rPr>
      <t xml:space="preserve"> - Zero correction + Correction for temp. </t>
    </r>
  </si>
  <si>
    <r>
      <t>N = (R</t>
    </r>
    <r>
      <rPr>
        <vertAlign val="subscript"/>
        <sz val="8"/>
        <rFont val="Arial"/>
        <family val="2"/>
      </rPr>
      <t>c</t>
    </r>
    <r>
      <rPr>
        <sz val="8"/>
        <rFont val="Arial"/>
        <family val="2"/>
      </rPr>
      <t xml:space="preserve"> * a /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>) *100</t>
    </r>
  </si>
  <si>
    <r>
      <t>Correction factor for Sp.Gr., a = 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* 1.65 / (G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- 1) / 2.65 =</t>
    </r>
  </si>
  <si>
    <r>
      <t>L = L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 xml:space="preserve"> + 0.5 * (L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 xml:space="preserve"> - V</t>
    </r>
    <r>
      <rPr>
        <vertAlign val="subscript"/>
        <sz val="8"/>
        <rFont val="Arial"/>
        <family val="2"/>
      </rPr>
      <t>b</t>
    </r>
    <r>
      <rPr>
        <sz val="8"/>
        <rFont val="Arial"/>
        <family val="2"/>
      </rPr>
      <t xml:space="preserve"> / A</t>
    </r>
    <r>
      <rPr>
        <vertAlign val="subscript"/>
        <sz val="8"/>
        <rFont val="Arial"/>
        <family val="2"/>
      </rPr>
      <t>grad</t>
    </r>
    <r>
      <rPr>
        <sz val="8"/>
        <rFont val="Arial"/>
        <family val="2"/>
      </rPr>
      <t>)</t>
    </r>
  </si>
  <si>
    <r>
      <t>D = [ 30 * h / {980 * (G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- G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>)} * ( L / t) ]</t>
    </r>
    <r>
      <rPr>
        <vertAlign val="superscript"/>
        <sz val="8"/>
        <rFont val="Arial"/>
        <family val="2"/>
      </rPr>
      <t>0.5</t>
    </r>
  </si>
  <si>
    <r>
      <t xml:space="preserve">Hydrometer reading correction for temparatute, </t>
    </r>
    <r>
      <rPr>
        <b/>
        <sz val="8"/>
        <rFont val="Arial"/>
        <family val="2"/>
      </rPr>
      <t>C</t>
    </r>
    <r>
      <rPr>
        <b/>
        <vertAlign val="subscript"/>
        <sz val="8"/>
        <rFont val="Arial"/>
        <family val="2"/>
      </rPr>
      <t>T</t>
    </r>
  </si>
  <si>
    <r>
      <t xml:space="preserve">Viscosity of water, </t>
    </r>
    <r>
      <rPr>
        <b/>
        <i/>
        <sz val="8"/>
        <rFont val="Symbol"/>
        <family val="1"/>
        <charset val="2"/>
      </rPr>
      <t>h</t>
    </r>
  </si>
  <si>
    <t>Vis-cocity</t>
  </si>
  <si>
    <t>From</t>
  </si>
  <si>
    <t>Eqn.</t>
  </si>
  <si>
    <r>
      <t>Wt.of soil, W</t>
    </r>
    <r>
      <rPr>
        <b/>
        <vertAlign val="subscript"/>
        <sz val="8"/>
        <rFont val="Arial"/>
        <family val="2"/>
      </rPr>
      <t>s</t>
    </r>
    <r>
      <rPr>
        <b/>
        <sz val="8"/>
        <rFont val="Arial"/>
        <family val="2"/>
      </rPr>
      <t xml:space="preserve"> :</t>
    </r>
  </si>
  <si>
    <r>
      <t>(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C)</t>
    </r>
  </si>
  <si>
    <r>
      <t>C</t>
    </r>
    <r>
      <rPr>
        <vertAlign val="subscript"/>
        <sz val="8"/>
        <rFont val="Arial"/>
        <family val="2"/>
      </rPr>
      <t>T</t>
    </r>
  </si>
  <si>
    <r>
      <t>h,</t>
    </r>
    <r>
      <rPr>
        <sz val="8"/>
        <rFont val="Arial"/>
        <family val="2"/>
      </rPr>
      <t xml:space="preserve"> Poise</t>
    </r>
  </si>
  <si>
    <r>
      <t>o</t>
    </r>
    <r>
      <rPr>
        <sz val="8"/>
        <rFont val="Arial"/>
        <family val="2"/>
      </rPr>
      <t>C</t>
    </r>
  </si>
  <si>
    <t>Bottle No. =</t>
  </si>
  <si>
    <t xml:space="preserve">    in water to make 1000 ml of standard solution</t>
  </si>
  <si>
    <t>100ml of standard solution*</t>
  </si>
  <si>
    <t xml:space="preserve">*   33 gm of sodium hexameta phosphate &amp; 7 gm of sodium carbonate dissolved </t>
  </si>
  <si>
    <t>Countersigned by :</t>
  </si>
  <si>
    <t>Test performed by :</t>
  </si>
  <si>
    <t>Department of Civil Engineering</t>
  </si>
  <si>
    <t>BUET, Dhaka - 1000.</t>
  </si>
  <si>
    <t>Professor</t>
  </si>
  <si>
    <t>BRTC No.:</t>
  </si>
  <si>
    <t>Ref :</t>
  </si>
  <si>
    <t>GRAIN SIZE ANALYSIS (SIEVE AND HYDROMETER)</t>
  </si>
  <si>
    <t>Sent by :</t>
  </si>
  <si>
    <t>Bore Hole No. :</t>
  </si>
  <si>
    <t>Sample No. :</t>
  </si>
  <si>
    <t>Sample Depth :</t>
  </si>
  <si>
    <t>Standard :</t>
  </si>
  <si>
    <t>Test Date :</t>
  </si>
  <si>
    <t>Visual Description of Soil :</t>
  </si>
  <si>
    <t xml:space="preserve">Complete all cells of elapsed time. In case of absence of any last cell just write the previous time and corresponding reading again and again </t>
  </si>
  <si>
    <t>Last Standard Time</t>
  </si>
  <si>
    <t>%F</t>
  </si>
  <si>
    <t>Coarse Sand:</t>
  </si>
  <si>
    <t>Medium Sand:</t>
  </si>
  <si>
    <t>Fine Sand</t>
  </si>
  <si>
    <t>Fine Sand:</t>
  </si>
  <si>
    <t>Silt:</t>
  </si>
  <si>
    <t>Clay:</t>
  </si>
  <si>
    <t>Upper Sieve (mm)</t>
  </si>
  <si>
    <t>Lower Sieve (mm)</t>
  </si>
  <si>
    <t>Plot</t>
  </si>
  <si>
    <t>ASTM D422</t>
  </si>
  <si>
    <t>Coarse Sand</t>
  </si>
  <si>
    <t>Medium Sand</t>
  </si>
  <si>
    <t>Silt</t>
  </si>
  <si>
    <t>Clay</t>
  </si>
  <si>
    <t>Colloids</t>
  </si>
  <si>
    <t>Boundary of Size in mm [Higher-Lower]</t>
  </si>
  <si>
    <t>Size (mm)</t>
  </si>
  <si>
    <t>Cu</t>
  </si>
  <si>
    <t>Cc</t>
  </si>
  <si>
    <t>%</t>
  </si>
  <si>
    <t>Boundary of Upper Sieve Size [mm]</t>
  </si>
  <si>
    <t>Boundary of Upper Sieve % F</t>
  </si>
  <si>
    <t>Upper Sieve % F</t>
  </si>
  <si>
    <t>Lower Sieve % F</t>
  </si>
  <si>
    <t>% Materials</t>
  </si>
  <si>
    <t>For Program:</t>
  </si>
  <si>
    <t>Boundary of % F</t>
  </si>
  <si>
    <r>
      <t>Coefficient of Curvature, C</t>
    </r>
    <r>
      <rPr>
        <vertAlign val="subscript"/>
        <sz val="9"/>
        <rFont val="Arial"/>
        <family val="2"/>
      </rPr>
      <t xml:space="preserve">c </t>
    </r>
    <r>
      <rPr>
        <sz val="9"/>
        <rFont val="Arial"/>
        <family val="2"/>
      </rPr>
      <t>:</t>
    </r>
  </si>
  <si>
    <r>
      <t>Coefficient of Uniformity, C</t>
    </r>
    <r>
      <rPr>
        <vertAlign val="subscript"/>
        <sz val="9"/>
        <rFont val="Arial"/>
        <family val="2"/>
      </rPr>
      <t xml:space="preserve">u </t>
    </r>
    <r>
      <rPr>
        <sz val="9"/>
        <rFont val="Arial"/>
        <family val="2"/>
      </rPr>
      <t>:</t>
    </r>
  </si>
  <si>
    <r>
      <t>D</t>
    </r>
    <r>
      <rPr>
        <vertAlign val="subscript"/>
        <sz val="9"/>
        <rFont val="Arial"/>
        <family val="2"/>
      </rPr>
      <t>10</t>
    </r>
    <r>
      <rPr>
        <sz val="9"/>
        <rFont val="Arial"/>
        <family val="2"/>
      </rPr>
      <t xml:space="preserve"> :</t>
    </r>
  </si>
  <si>
    <r>
      <t>D</t>
    </r>
    <r>
      <rPr>
        <vertAlign val="subscript"/>
        <sz val="9"/>
        <rFont val="Arial"/>
        <family val="2"/>
      </rPr>
      <t>30</t>
    </r>
    <r>
      <rPr>
        <sz val="9"/>
        <rFont val="Arial"/>
        <family val="2"/>
      </rPr>
      <t xml:space="preserve"> :</t>
    </r>
  </si>
  <si>
    <r>
      <t>D</t>
    </r>
    <r>
      <rPr>
        <vertAlign val="subscript"/>
        <sz val="9"/>
        <rFont val="Arial"/>
        <family val="2"/>
      </rPr>
      <t>60</t>
    </r>
    <r>
      <rPr>
        <sz val="9"/>
        <rFont val="Arial"/>
        <family val="2"/>
      </rPr>
      <t xml:space="preserve"> :</t>
    </r>
  </si>
  <si>
    <t>CLAY</t>
  </si>
  <si>
    <t>Dr. Md. Ferdous Alam</t>
  </si>
  <si>
    <t>Assistant Professor</t>
  </si>
  <si>
    <t>Do not do anything here</t>
  </si>
  <si>
    <t>1102-05882/CE/19-20 Dated 23/01/2020</t>
  </si>
  <si>
    <t>NEXTEON DEVELOPMENT LTD., 339/B, 1st Floor, Tejgaon I/A, Dhaka-1208</t>
  </si>
  <si>
    <t>NE-003 (28+5B) MULTISTORIED COMMERCIAL BUILDING</t>
  </si>
  <si>
    <t>Letter Dated 23/01/2020</t>
  </si>
  <si>
    <t>UD-1</t>
  </si>
  <si>
    <t>2.0m - 2.5m</t>
  </si>
  <si>
    <t>Red Silty Clay</t>
  </si>
  <si>
    <t>04/02/2020 to 08/02/2020</t>
  </si>
  <si>
    <t>05-02-2020</t>
  </si>
  <si>
    <r>
      <t>Specific Gravity of Soil Solids, G</t>
    </r>
    <r>
      <rPr>
        <vertAlign val="subscript"/>
        <sz val="9"/>
        <rFont val="Arial"/>
        <family val="2"/>
      </rPr>
      <t xml:space="preserve">s </t>
    </r>
    <r>
      <rPr>
        <sz val="9"/>
        <rFont val="Arial"/>
        <family val="2"/>
      </rPr>
      <t>:</t>
    </r>
  </si>
  <si>
    <r>
      <t>D</t>
    </r>
    <r>
      <rPr>
        <vertAlign val="subscript"/>
        <sz val="9"/>
        <color theme="1"/>
        <rFont val="Arial"/>
        <family val="2"/>
      </rPr>
      <t>50</t>
    </r>
    <r>
      <rPr>
        <sz val="9"/>
        <color theme="1"/>
        <rFont val="Arial"/>
        <family val="2"/>
      </rPr>
      <t xml:space="preserve"> :</t>
    </r>
  </si>
  <si>
    <t>Dr. A. B. M. Badruzzaman</t>
  </si>
  <si>
    <t>ASTM D422, D854, D1140, D6913, D7928</t>
  </si>
  <si>
    <t>wt. of soil retained</t>
  </si>
  <si>
    <t>Sieve no</t>
  </si>
  <si>
    <t>pan</t>
  </si>
  <si>
    <t>Zero Correction:</t>
  </si>
  <si>
    <t>Miniscus correction:</t>
  </si>
  <si>
    <t>Liquid Limit Test</t>
  </si>
  <si>
    <t>Trial no.</t>
  </si>
  <si>
    <t>No. of blows</t>
  </si>
  <si>
    <t>Wt. of container in gm.</t>
  </si>
  <si>
    <t>Wt. of container + wet soil, gm</t>
  </si>
  <si>
    <t>Wt. of container + dry soil, gm</t>
  </si>
  <si>
    <r>
      <t>Wt. of water, W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 xml:space="preserve"> in gm.</t>
    </r>
  </si>
  <si>
    <r>
      <t>Wt. of dry soil,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in gm.</t>
    </r>
  </si>
  <si>
    <t>Water content, w in %</t>
  </si>
  <si>
    <t>Plastic Limit Test</t>
  </si>
  <si>
    <t>Wt. container + wet soil, gm</t>
  </si>
  <si>
    <t>Wt. container + dry soil, gm</t>
  </si>
  <si>
    <t>Wt. of water in gm.</t>
  </si>
  <si>
    <t>Wt. of dry soil in gm.</t>
  </si>
  <si>
    <t>Sand</t>
  </si>
  <si>
    <t>LL</t>
  </si>
  <si>
    <t>PL</t>
  </si>
  <si>
    <t>Final Result</t>
  </si>
  <si>
    <t>Boring No</t>
  </si>
  <si>
    <t>Sample No</t>
  </si>
  <si>
    <t>time</t>
  </si>
  <si>
    <t>date</t>
  </si>
  <si>
    <t>datetime</t>
  </si>
  <si>
    <t>duration</t>
  </si>
  <si>
    <t>---</t>
  </si>
  <si>
    <t>serial</t>
  </si>
  <si>
    <t>D-29,30</t>
  </si>
  <si>
    <t>D-31,32,33</t>
  </si>
  <si>
    <t>D-28,29,30</t>
  </si>
  <si>
    <t>D-31,32</t>
  </si>
  <si>
    <t>D-24,25,26</t>
  </si>
  <si>
    <t>D-32,33,34</t>
  </si>
  <si>
    <t>D-32</t>
  </si>
  <si>
    <t>D-19,20,21</t>
  </si>
  <si>
    <t>D-25,26,27</t>
  </si>
  <si>
    <t>D-1,2</t>
  </si>
  <si>
    <t>D-30</t>
  </si>
  <si>
    <t>status</t>
  </si>
  <si>
    <t>D-32,33</t>
  </si>
  <si>
    <t>D-20</t>
  </si>
  <si>
    <t>D-25,26</t>
  </si>
  <si>
    <t>D-29,30,31</t>
  </si>
  <si>
    <t>D-29</t>
  </si>
  <si>
    <t>D-31</t>
  </si>
  <si>
    <t>UD-2</t>
  </si>
  <si>
    <t>D-3,4,5</t>
  </si>
  <si>
    <t>D-23,24,25</t>
  </si>
  <si>
    <t>D-26,27,28</t>
  </si>
  <si>
    <t>D-1,2,3</t>
  </si>
  <si>
    <t>D-30,31,32</t>
  </si>
  <si>
    <t>D-24</t>
  </si>
  <si>
    <t>start from 120-24,25,26</t>
  </si>
  <si>
    <t>24,25,26</t>
  </si>
  <si>
    <t>D-26,27</t>
  </si>
  <si>
    <t>d-21,22</t>
  </si>
  <si>
    <t>D-27,28</t>
  </si>
  <si>
    <t>D-27,28,29</t>
  </si>
  <si>
    <t>D-33</t>
  </si>
  <si>
    <t>Data upto this row from Mithamain Project</t>
  </si>
  <si>
    <t>D-6666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</si>
</sst>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0"/>
    <numFmt numFmtId="165" formatCode="0.0"/>
    <numFmt numFmtId="166" formatCode="0.00_)"/>
    <numFmt numFmtId="167" formatCode="[mm]"/>
    <numFmt numFmtId="168" formatCode="d/m/yyyy\ h:mm\ AM/PM"/>
    <numFmt numFmtId="169" formatCode="[$-409]d\-mmm\-yyyy;@"/>
    <numFmt numFmtId="170" formatCode="0.00_);\(0.00\)"/>
    <numFmt numFmtId="171" formatCode="[$-F400]h:mm:ss\ AM/PM"/>
  </numFmts>
  <fonts count="3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vertAlign val="subscript"/>
      <sz val="8"/>
      <name val="Arial"/>
      <family val="2"/>
    </font>
    <font>
      <i/>
      <u/>
      <sz val="10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i/>
      <sz val="10"/>
      <name val="Arial"/>
      <family val="2"/>
    </font>
    <font>
      <vertAlign val="superscript"/>
      <sz val="8"/>
      <name val="Arial"/>
      <family val="2"/>
    </font>
    <font>
      <b/>
      <i/>
      <sz val="8"/>
      <name val="Arial"/>
      <family val="2"/>
    </font>
    <font>
      <sz val="8"/>
      <name val="Symbol"/>
      <family val="1"/>
      <charset val="2"/>
    </font>
    <font>
      <b/>
      <vertAlign val="subscript"/>
      <sz val="8"/>
      <name val="Arial"/>
      <family val="2"/>
    </font>
    <font>
      <b/>
      <i/>
      <sz val="8"/>
      <name val="Symbol"/>
      <family val="1"/>
      <charset val="2"/>
    </font>
    <font>
      <sz val="9"/>
      <name val="Arial"/>
      <family val="2"/>
    </font>
    <font>
      <b/>
      <sz val="9"/>
      <name val="Tahoma"/>
      <family val="2"/>
    </font>
    <font>
      <sz val="9"/>
      <name val="Tahoma"/>
      <family val="2"/>
    </font>
    <font>
      <i/>
      <sz val="9"/>
      <name val="Arial"/>
      <family val="2"/>
    </font>
    <font>
      <b/>
      <sz val="12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sz val="10"/>
      <color rgb="FFC00000"/>
      <name val="MS Sans Serif"/>
    </font>
    <font>
      <b/>
      <sz val="10"/>
      <color rgb="FFFF0000"/>
      <name val="MS Sans Serif"/>
    </font>
    <font>
      <vertAlign val="subscript"/>
      <sz val="9"/>
      <name val="Arial"/>
      <family val="2"/>
    </font>
    <font>
      <b/>
      <sz val="10"/>
      <name val="Tahoma"/>
      <family val="2"/>
    </font>
    <font>
      <sz val="10"/>
      <name val="Tahoma"/>
      <family val="2"/>
    </font>
    <font>
      <sz val="5.5"/>
      <name val="Arial"/>
      <family val="2"/>
    </font>
    <font>
      <sz val="9"/>
      <color theme="1"/>
      <name val="Arial"/>
      <family val="2"/>
    </font>
    <font>
      <vertAlign val="subscript"/>
      <sz val="9"/>
      <color theme="1"/>
      <name val="Arial"/>
      <family val="2"/>
    </font>
    <font>
      <b/>
      <sz val="11"/>
      <name val="Arial"/>
      <family val="2"/>
    </font>
    <font>
      <b/>
      <i/>
      <sz val="9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94">
    <xf numFmtId="0" fontId="0" fillId="0" borderId="0" xfId="0"/>
    <xf numFmtId="0" fontId="2" fillId="0" borderId="0" xfId="0" applyFont="1"/>
    <xf numFmtId="0" fontId="0" fillId="0" borderId="1" xfId="0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3" fillId="0" borderId="0" xfId="0" applyFont="1"/>
    <xf numFmtId="0" fontId="8" fillId="0" borderId="0" xfId="0" applyFont="1"/>
    <xf numFmtId="0" fontId="2" fillId="0" borderId="0" xfId="0" applyFont="1" applyAlignment="1">
      <alignment horizontal="right"/>
    </xf>
    <xf numFmtId="0" fontId="10" fillId="0" borderId="0" xfId="0" applyFont="1"/>
    <xf numFmtId="0" fontId="12" fillId="0" borderId="0" xfId="0" applyFont="1"/>
    <xf numFmtId="0" fontId="2" fillId="0" borderId="4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/>
    <xf numFmtId="0" fontId="2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2" fontId="2" fillId="0" borderId="4" xfId="0" applyNumberFormat="1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9" fillId="0" borderId="9" xfId="0" applyFont="1" applyBorder="1"/>
    <xf numFmtId="0" fontId="0" fillId="0" borderId="10" xfId="0" applyBorder="1"/>
    <xf numFmtId="0" fontId="2" fillId="0" borderId="10" xfId="0" applyFont="1" applyBorder="1"/>
    <xf numFmtId="0" fontId="0" fillId="0" borderId="7" xfId="0" applyBorder="1"/>
    <xf numFmtId="0" fontId="9" fillId="0" borderId="7" xfId="0" applyFont="1" applyBorder="1" applyAlignment="1">
      <alignment horizontal="left"/>
    </xf>
    <xf numFmtId="0" fontId="0" fillId="0" borderId="0" xfId="0" applyBorder="1"/>
    <xf numFmtId="0" fontId="9" fillId="0" borderId="6" xfId="0" applyFont="1" applyBorder="1"/>
    <xf numFmtId="0" fontId="2" fillId="0" borderId="1" xfId="0" applyFont="1" applyBorder="1"/>
    <xf numFmtId="0" fontId="2" fillId="0" borderId="11" xfId="0" applyFont="1" applyBorder="1"/>
    <xf numFmtId="0" fontId="2" fillId="2" borderId="10" xfId="0" applyFont="1" applyFill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2" fillId="3" borderId="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3" borderId="6" xfId="0" applyFont="1" applyFill="1" applyBorder="1"/>
    <xf numFmtId="0" fontId="2" fillId="3" borderId="6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11" fillId="3" borderId="13" xfId="0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0" fillId="0" borderId="0" xfId="0" applyFill="1" applyBorder="1"/>
    <xf numFmtId="2" fontId="2" fillId="0" borderId="4" xfId="0" applyNumberFormat="1" applyFont="1" applyBorder="1" applyAlignment="1">
      <alignment horizontal="center"/>
    </xf>
    <xf numFmtId="2" fontId="0" fillId="0" borderId="0" xfId="0" applyNumberFormat="1"/>
    <xf numFmtId="2" fontId="2" fillId="0" borderId="0" xfId="0" applyNumberFormat="1" applyFont="1" applyFill="1" applyAlignment="1">
      <alignment horizontal="left"/>
    </xf>
    <xf numFmtId="0" fontId="2" fillId="0" borderId="2" xfId="0" applyFont="1" applyBorder="1" applyAlignment="1">
      <alignment horizontal="center" wrapText="1"/>
    </xf>
    <xf numFmtId="0" fontId="2" fillId="0" borderId="8" xfId="0" applyFont="1" applyBorder="1" applyAlignment="1">
      <alignment horizontal="center"/>
    </xf>
    <xf numFmtId="0" fontId="2" fillId="0" borderId="14" xfId="0" applyFont="1" applyBorder="1" applyAlignment="1">
      <alignment horizontal="center" wrapText="1"/>
    </xf>
    <xf numFmtId="0" fontId="0" fillId="0" borderId="4" xfId="0" applyBorder="1"/>
    <xf numFmtId="164" fontId="2" fillId="0" borderId="4" xfId="0" applyNumberFormat="1" applyFont="1" applyBorder="1"/>
    <xf numFmtId="0" fontId="0" fillId="0" borderId="2" xfId="0" applyBorder="1"/>
    <xf numFmtId="0" fontId="0" fillId="0" borderId="14" xfId="0" applyBorder="1" applyAlignment="1">
      <alignment wrapText="1"/>
    </xf>
    <xf numFmtId="0" fontId="9" fillId="0" borderId="10" xfId="0" applyFont="1" applyBorder="1"/>
    <xf numFmtId="0" fontId="9" fillId="0" borderId="9" xfId="0" applyFont="1" applyBorder="1" applyAlignment="1">
      <alignment horizontal="left"/>
    </xf>
    <xf numFmtId="0" fontId="2" fillId="0" borderId="12" xfId="0" applyFont="1" applyFill="1" applyBorder="1" applyAlignment="1">
      <alignment horizontal="left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9" xfId="0" applyFont="1" applyBorder="1"/>
    <xf numFmtId="164" fontId="2" fillId="0" borderId="0" xfId="0" applyNumberFormat="1" applyFont="1" applyAlignment="1">
      <alignment horizontal="left"/>
    </xf>
    <xf numFmtId="0" fontId="11" fillId="0" borderId="8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left"/>
    </xf>
    <xf numFmtId="14" fontId="2" fillId="5" borderId="4" xfId="0" applyNumberFormat="1" applyFont="1" applyFill="1" applyBorder="1" applyAlignment="1">
      <alignment horizontal="center"/>
    </xf>
    <xf numFmtId="0" fontId="0" fillId="0" borderId="0" xfId="0" applyBorder="1" applyAlignment="1">
      <alignment readingOrder="1"/>
    </xf>
    <xf numFmtId="0" fontId="2" fillId="3" borderId="7" xfId="0" applyFont="1" applyFill="1" applyBorder="1" applyAlignment="1">
      <alignment horizontal="center" wrapText="1"/>
    </xf>
    <xf numFmtId="0" fontId="19" fillId="0" borderId="0" xfId="0" applyFont="1"/>
    <xf numFmtId="0" fontId="20" fillId="0" borderId="0" xfId="0" applyFont="1" applyFill="1" applyAlignment="1">
      <alignment horizontal="left"/>
    </xf>
    <xf numFmtId="0" fontId="16" fillId="0" borderId="0" xfId="0" applyFont="1"/>
    <xf numFmtId="0" fontId="1" fillId="0" borderId="0" xfId="0" applyFont="1"/>
    <xf numFmtId="0" fontId="9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Border="1" applyAlignment="1">
      <alignment horizontal="left"/>
    </xf>
    <xf numFmtId="0" fontId="2" fillId="0" borderId="0" xfId="0" applyFont="1" applyFill="1" applyBorder="1" applyAlignment="1"/>
    <xf numFmtId="0" fontId="9" fillId="0" borderId="0" xfId="0" applyFont="1" applyBorder="1" applyAlignment="1">
      <alignment horizontal="left" vertical="center"/>
    </xf>
    <xf numFmtId="0" fontId="0" fillId="7" borderId="0" xfId="0" applyFill="1" applyBorder="1" applyAlignment="1">
      <alignment vertical="center"/>
    </xf>
    <xf numFmtId="0" fontId="9" fillId="7" borderId="0" xfId="0" applyFont="1" applyFill="1" applyBorder="1" applyAlignment="1">
      <alignment horizontal="left" vertical="center"/>
    </xf>
    <xf numFmtId="0" fontId="2" fillId="7" borderId="0" xfId="0" applyFont="1" applyFill="1" applyBorder="1" applyAlignment="1">
      <alignment horizontal="left"/>
    </xf>
    <xf numFmtId="0" fontId="0" fillId="7" borderId="0" xfId="0" applyFill="1" applyBorder="1"/>
    <xf numFmtId="0" fontId="2" fillId="7" borderId="0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17" fillId="7" borderId="0" xfId="0" applyFont="1" applyFill="1"/>
    <xf numFmtId="0" fontId="0" fillId="7" borderId="0" xfId="0" applyFill="1"/>
    <xf numFmtId="0" fontId="18" fillId="7" borderId="0" xfId="0" applyFont="1" applyFill="1"/>
    <xf numFmtId="0" fontId="2" fillId="7" borderId="0" xfId="0" quotePrefix="1" applyFont="1" applyFill="1" applyBorder="1" applyAlignment="1">
      <alignment vertical="center"/>
    </xf>
    <xf numFmtId="14" fontId="8" fillId="7" borderId="0" xfId="0" applyNumberFormat="1" applyFont="1" applyFill="1" applyBorder="1"/>
    <xf numFmtId="0" fontId="2" fillId="7" borderId="0" xfId="0" applyFont="1" applyFill="1" applyBorder="1"/>
    <xf numFmtId="0" fontId="2" fillId="0" borderId="0" xfId="0" applyFont="1" applyFill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0" fillId="8" borderId="15" xfId="0" applyFill="1" applyBorder="1"/>
    <xf numFmtId="0" fontId="0" fillId="8" borderId="17" xfId="0" applyFill="1" applyBorder="1"/>
    <xf numFmtId="0" fontId="0" fillId="8" borderId="19" xfId="0" applyFill="1" applyBorder="1"/>
    <xf numFmtId="2" fontId="2" fillId="2" borderId="4" xfId="0" applyNumberFormat="1" applyFont="1" applyFill="1" applyBorder="1" applyAlignment="1">
      <alignment horizontal="center"/>
    </xf>
    <xf numFmtId="2" fontId="2" fillId="6" borderId="4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>
      <alignment horizontal="center"/>
    </xf>
    <xf numFmtId="0" fontId="0" fillId="8" borderId="4" xfId="0" applyFill="1" applyBorder="1"/>
    <xf numFmtId="0" fontId="0" fillId="0" borderId="21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" fillId="0" borderId="17" xfId="0" applyFont="1" applyBorder="1"/>
    <xf numFmtId="0" fontId="0" fillId="2" borderId="18" xfId="0" applyFill="1" applyBorder="1"/>
    <xf numFmtId="0" fontId="8" fillId="0" borderId="17" xfId="0" applyFont="1" applyBorder="1"/>
    <xf numFmtId="0" fontId="12" fillId="0" borderId="19" xfId="0" applyFont="1" applyBorder="1"/>
    <xf numFmtId="0" fontId="0" fillId="0" borderId="22" xfId="0" applyBorder="1"/>
    <xf numFmtId="2" fontId="0" fillId="4" borderId="20" xfId="0" applyNumberFormat="1" applyFill="1" applyBorder="1"/>
    <xf numFmtId="0" fontId="2" fillId="8" borderId="23" xfId="0" applyFont="1" applyFill="1" applyBorder="1" applyAlignment="1">
      <alignment horizontal="center"/>
    </xf>
    <xf numFmtId="0" fontId="2" fillId="8" borderId="24" xfId="0" applyFont="1" applyFill="1" applyBorder="1" applyAlignment="1">
      <alignment horizontal="center"/>
    </xf>
    <xf numFmtId="0" fontId="2" fillId="8" borderId="25" xfId="0" applyFont="1" applyFill="1" applyBorder="1" applyAlignment="1">
      <alignment horizontal="center"/>
    </xf>
    <xf numFmtId="0" fontId="0" fillId="8" borderId="26" xfId="0" applyFill="1" applyBorder="1"/>
    <xf numFmtId="0" fontId="0" fillId="8" borderId="26" xfId="0" applyFill="1" applyBorder="1" applyAlignment="1">
      <alignment horizontal="center"/>
    </xf>
    <xf numFmtId="0" fontId="2" fillId="8" borderId="27" xfId="0" applyFont="1" applyFill="1" applyBorder="1" applyAlignment="1">
      <alignment horizontal="center"/>
    </xf>
    <xf numFmtId="2" fontId="2" fillId="8" borderId="28" xfId="0" applyNumberFormat="1" applyFont="1" applyFill="1" applyBorder="1" applyAlignment="1">
      <alignment horizontal="center"/>
    </xf>
    <xf numFmtId="0" fontId="2" fillId="8" borderId="29" xfId="0" applyFont="1" applyFill="1" applyBorder="1" applyAlignment="1">
      <alignment horizontal="center"/>
    </xf>
    <xf numFmtId="2" fontId="2" fillId="8" borderId="30" xfId="0" applyNumberFormat="1" applyFont="1" applyFill="1" applyBorder="1" applyAlignment="1">
      <alignment horizontal="center"/>
    </xf>
    <xf numFmtId="0" fontId="22" fillId="0" borderId="15" xfId="0" applyFont="1" applyBorder="1"/>
    <xf numFmtId="0" fontId="24" fillId="8" borderId="35" xfId="0" applyFont="1" applyFill="1" applyBorder="1" applyAlignment="1">
      <alignment horizontal="center" vertical="center"/>
    </xf>
    <xf numFmtId="0" fontId="24" fillId="8" borderId="28" xfId="0" applyFont="1" applyFill="1" applyBorder="1" applyAlignment="1">
      <alignment horizontal="center" vertical="center"/>
    </xf>
    <xf numFmtId="2" fontId="24" fillId="8" borderId="28" xfId="0" applyNumberFormat="1" applyFont="1" applyFill="1" applyBorder="1" applyAlignment="1">
      <alignment horizontal="center" vertical="center"/>
    </xf>
    <xf numFmtId="0" fontId="0" fillId="8" borderId="36" xfId="0" applyFill="1" applyBorder="1"/>
    <xf numFmtId="0" fontId="0" fillId="8" borderId="33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21" fillId="8" borderId="19" xfId="0" applyFont="1" applyFill="1" applyBorder="1"/>
    <xf numFmtId="0" fontId="21" fillId="8" borderId="20" xfId="0" applyFont="1" applyFill="1" applyBorder="1"/>
    <xf numFmtId="0" fontId="0" fillId="8" borderId="34" xfId="0" applyFill="1" applyBorder="1"/>
    <xf numFmtId="166" fontId="23" fillId="8" borderId="27" xfId="0" applyNumberFormat="1" applyFont="1" applyFill="1" applyBorder="1"/>
    <xf numFmtId="166" fontId="23" fillId="8" borderId="29" xfId="0" applyNumberFormat="1" applyFont="1" applyFill="1" applyBorder="1"/>
    <xf numFmtId="0" fontId="21" fillId="8" borderId="33" xfId="0" applyFont="1" applyFill="1" applyBorder="1" applyAlignment="1">
      <alignment horizontal="center" vertical="center"/>
    </xf>
    <xf numFmtId="0" fontId="1" fillId="8" borderId="34" xfId="0" applyFont="1" applyFill="1" applyBorder="1"/>
    <xf numFmtId="0" fontId="21" fillId="8" borderId="35" xfId="0" applyFont="1" applyFill="1" applyBorder="1"/>
    <xf numFmtId="0" fontId="21" fillId="8" borderId="28" xfId="0" applyFont="1" applyFill="1" applyBorder="1"/>
    <xf numFmtId="0" fontId="21" fillId="8" borderId="30" xfId="0" applyFont="1" applyFill="1" applyBorder="1"/>
    <xf numFmtId="0" fontId="2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0" fontId="2" fillId="0" borderId="0" xfId="0" quotePrefix="1" applyFont="1" applyFill="1" applyBorder="1" applyAlignment="1">
      <alignment vertical="center"/>
    </xf>
    <xf numFmtId="0" fontId="0" fillId="0" borderId="0" xfId="0" applyFill="1"/>
    <xf numFmtId="0" fontId="26" fillId="0" borderId="0" xfId="0" applyFont="1" applyFill="1"/>
    <xf numFmtId="0" fontId="27" fillId="0" borderId="0" xfId="0" applyFont="1" applyFill="1"/>
    <xf numFmtId="0" fontId="3" fillId="8" borderId="20" xfId="0" applyFont="1" applyFill="1" applyBorder="1" applyAlignment="1">
      <alignment vertical="center"/>
    </xf>
    <xf numFmtId="0" fontId="3" fillId="8" borderId="16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2" fillId="7" borderId="0" xfId="0" quotePrefix="1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9" fillId="0" borderId="0" xfId="0" applyFont="1" applyFill="1" applyBorder="1" applyAlignment="1">
      <alignment vertical="center"/>
    </xf>
    <xf numFmtId="0" fontId="2" fillId="7" borderId="0" xfId="0" quotePrefix="1" applyFont="1" applyFill="1" applyBorder="1" applyAlignment="1">
      <alignment horizontal="left"/>
    </xf>
    <xf numFmtId="0" fontId="0" fillId="7" borderId="18" xfId="0" applyFill="1" applyBorder="1"/>
    <xf numFmtId="0" fontId="16" fillId="0" borderId="0" xfId="0" applyNumberFormat="1" applyFont="1" applyAlignment="1">
      <alignment horizontal="right" vertical="center"/>
    </xf>
    <xf numFmtId="0" fontId="16" fillId="0" borderId="0" xfId="0" applyNumberFormat="1" applyFont="1" applyAlignment="1">
      <alignment horizontal="left" vertical="center"/>
    </xf>
    <xf numFmtId="0" fontId="28" fillId="0" borderId="0" xfId="0" applyFont="1" applyFill="1" applyBorder="1" applyAlignment="1">
      <alignment horizontal="left" vertical="center"/>
    </xf>
    <xf numFmtId="14" fontId="2" fillId="5" borderId="4" xfId="0" quotePrefix="1" applyNumberFormat="1" applyFont="1" applyFill="1" applyBorder="1" applyAlignment="1">
      <alignment horizontal="center"/>
    </xf>
    <xf numFmtId="0" fontId="24" fillId="8" borderId="4" xfId="0" applyFont="1" applyFill="1" applyBorder="1" applyAlignment="1">
      <alignment horizontal="center" vertical="center"/>
    </xf>
    <xf numFmtId="2" fontId="24" fillId="8" borderId="4" xfId="0" applyNumberFormat="1" applyFont="1" applyFill="1" applyBorder="1" applyAlignment="1">
      <alignment horizontal="center" vertical="center"/>
    </xf>
    <xf numFmtId="0" fontId="24" fillId="8" borderId="34" xfId="0" applyFont="1" applyFill="1" applyBorder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0" fillId="0" borderId="36" xfId="0" applyBorder="1"/>
    <xf numFmtId="0" fontId="0" fillId="0" borderId="30" xfId="0" applyBorder="1"/>
    <xf numFmtId="0" fontId="29" fillId="0" borderId="0" xfId="0" applyFont="1" applyAlignment="1">
      <alignment horizontal="left" vertical="center"/>
    </xf>
    <xf numFmtId="0" fontId="29" fillId="0" borderId="0" xfId="0" applyNumberFormat="1" applyFont="1" applyAlignment="1">
      <alignment horizontal="right" vertical="center"/>
    </xf>
    <xf numFmtId="2" fontId="0" fillId="8" borderId="26" xfId="0" applyNumberFormat="1" applyFill="1" applyBorder="1" applyAlignment="1">
      <alignment horizontal="center"/>
    </xf>
    <xf numFmtId="0" fontId="0" fillId="0" borderId="33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9" borderId="33" xfId="0" applyFill="1" applyBorder="1" applyAlignment="1">
      <alignment horizontal="center" vertical="center" wrapText="1"/>
    </xf>
    <xf numFmtId="0" fontId="0" fillId="9" borderId="29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7" borderId="37" xfId="0" applyFill="1" applyBorder="1" applyAlignment="1">
      <alignment horizontal="center" vertical="center" wrapText="1"/>
    </xf>
    <xf numFmtId="0" fontId="0" fillId="7" borderId="38" xfId="0" applyFill="1" applyBorder="1" applyAlignment="1">
      <alignment horizontal="center" vertical="center" wrapText="1"/>
    </xf>
    <xf numFmtId="2" fontId="2" fillId="2" borderId="35" xfId="0" applyNumberFormat="1" applyFont="1" applyFill="1" applyBorder="1" applyAlignment="1">
      <alignment horizontal="center"/>
    </xf>
    <xf numFmtId="2" fontId="2" fillId="2" borderId="28" xfId="0" applyNumberFormat="1" applyFont="1" applyFill="1" applyBorder="1" applyAlignment="1">
      <alignment horizontal="center"/>
    </xf>
    <xf numFmtId="0" fontId="31" fillId="0" borderId="0" xfId="0" applyFont="1"/>
    <xf numFmtId="0" fontId="2" fillId="0" borderId="12" xfId="0" applyFont="1" applyBorder="1"/>
    <xf numFmtId="0" fontId="2" fillId="0" borderId="11" xfId="0" applyFont="1" applyBorder="1" applyAlignment="1">
      <alignment horizontal="center"/>
    </xf>
    <xf numFmtId="0" fontId="2" fillId="7" borderId="11" xfId="0" applyFont="1" applyFill="1" applyBorder="1"/>
    <xf numFmtId="0" fontId="2" fillId="7" borderId="4" xfId="0" applyFont="1" applyFill="1" applyBorder="1"/>
    <xf numFmtId="0" fontId="2" fillId="0" borderId="4" xfId="0" applyFont="1" applyBorder="1"/>
    <xf numFmtId="2" fontId="2" fillId="7" borderId="4" xfId="0" applyNumberFormat="1" applyFont="1" applyFill="1" applyBorder="1"/>
    <xf numFmtId="165" fontId="2" fillId="0" borderId="4" xfId="0" applyNumberFormat="1" applyFont="1" applyBorder="1"/>
    <xf numFmtId="0" fontId="32" fillId="0" borderId="0" xfId="0" applyFont="1"/>
    <xf numFmtId="2" fontId="2" fillId="10" borderId="4" xfId="0" applyNumberFormat="1" applyFont="1" applyFill="1" applyBorder="1"/>
    <xf numFmtId="0" fontId="2" fillId="0" borderId="6" xfId="0" applyFont="1" applyBorder="1"/>
    <xf numFmtId="0" fontId="2" fillId="0" borderId="13" xfId="0" applyFont="1" applyBorder="1"/>
    <xf numFmtId="0" fontId="2" fillId="0" borderId="39" xfId="0" applyFont="1" applyBorder="1"/>
    <xf numFmtId="0" fontId="0" fillId="0" borderId="15" xfId="0" applyBorder="1"/>
    <xf numFmtId="0" fontId="0" fillId="0" borderId="19" xfId="0" applyBorder="1"/>
    <xf numFmtId="0" fontId="0" fillId="0" borderId="20" xfId="0" applyBorder="1"/>
    <xf numFmtId="0" fontId="2" fillId="8" borderId="4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11" borderId="4" xfId="0" applyFont="1" applyFill="1" applyBorder="1" applyAlignment="1">
      <alignment horizontal="center" vertical="center" wrapText="1"/>
    </xf>
    <xf numFmtId="1" fontId="1" fillId="11" borderId="4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7" borderId="33" xfId="0" applyFill="1" applyBorder="1" applyAlignment="1">
      <alignment horizontal="center" vertical="center" wrapText="1"/>
    </xf>
    <xf numFmtId="0" fontId="0" fillId="7" borderId="29" xfId="0" applyFill="1" applyBorder="1" applyAlignment="1">
      <alignment horizontal="center" vertical="center" wrapText="1"/>
    </xf>
    <xf numFmtId="0" fontId="0" fillId="12" borderId="4" xfId="0" applyFill="1" applyBorder="1" applyAlignment="1">
      <alignment horizontal="center" vertical="center" wrapText="1"/>
    </xf>
    <xf numFmtId="0" fontId="2" fillId="12" borderId="4" xfId="0" applyFont="1" applyFill="1" applyBorder="1" applyAlignment="1">
      <alignment horizontal="center" vertical="center" wrapText="1"/>
    </xf>
    <xf numFmtId="0" fontId="1" fillId="12" borderId="4" xfId="0" applyFont="1" applyFill="1" applyBorder="1" applyAlignment="1">
      <alignment horizontal="center" vertical="center" wrapText="1"/>
    </xf>
    <xf numFmtId="47" fontId="0" fillId="0" borderId="0" xfId="0" applyNumberFormat="1"/>
    <xf numFmtId="167" fontId="0" fillId="0" borderId="0" xfId="0" applyNumberFormat="1"/>
    <xf numFmtId="20" fontId="1" fillId="0" borderId="0" xfId="0" applyNumberFormat="1" applyFont="1"/>
    <xf numFmtId="14" fontId="0" fillId="0" borderId="0" xfId="0" applyNumberFormat="1"/>
    <xf numFmtId="14" fontId="1" fillId="0" borderId="0" xfId="0" applyNumberFormat="1" applyFont="1"/>
    <xf numFmtId="167" fontId="1" fillId="0" borderId="0" xfId="0" applyNumberFormat="1" applyFont="1"/>
    <xf numFmtId="168" fontId="1" fillId="0" borderId="0" xfId="0" applyNumberFormat="1" applyFont="1"/>
    <xf numFmtId="168" fontId="0" fillId="0" borderId="0" xfId="0" applyNumberFormat="1"/>
    <xf numFmtId="18" fontId="0" fillId="0" borderId="0" xfId="0" applyNumberFormat="1"/>
    <xf numFmtId="22" fontId="0" fillId="0" borderId="0" xfId="0" applyNumberFormat="1"/>
    <xf numFmtId="170" fontId="1" fillId="0" borderId="0" xfId="0" applyNumberFormat="1" applyFont="1"/>
    <xf numFmtId="0" fontId="2" fillId="5" borderId="11" xfId="0" applyFont="1" applyFill="1" applyBorder="1" applyAlignment="1">
      <alignment horizontal="center"/>
    </xf>
    <xf numFmtId="0" fontId="2" fillId="5" borderId="11" xfId="0" applyNumberFormat="1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 vertical="center"/>
    </xf>
    <xf numFmtId="169" fontId="0" fillId="7" borderId="4" xfId="0" applyNumberFormat="1" applyFill="1" applyBorder="1" applyAlignment="1">
      <alignment horizontal="center" vertical="center"/>
    </xf>
    <xf numFmtId="20" fontId="0" fillId="7" borderId="4" xfId="0" applyNumberForma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167" fontId="0" fillId="7" borderId="4" xfId="0" applyNumberFormat="1" applyFill="1" applyBorder="1" applyAlignment="1">
      <alignment horizontal="center"/>
    </xf>
    <xf numFmtId="167" fontId="0" fillId="0" borderId="0" xfId="0" applyNumberFormat="1" applyBorder="1"/>
    <xf numFmtId="0" fontId="0" fillId="7" borderId="4" xfId="0" applyNumberFormat="1" applyFill="1" applyBorder="1" applyAlignment="1">
      <alignment horizontal="center"/>
    </xf>
    <xf numFmtId="171" fontId="0" fillId="0" borderId="0" xfId="0" applyNumberFormat="1" applyBorder="1"/>
    <xf numFmtId="0" fontId="1" fillId="12" borderId="14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/>
    </xf>
    <xf numFmtId="1" fontId="1" fillId="0" borderId="4" xfId="0" applyNumberFormat="1" applyFont="1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12" borderId="4" xfId="0" applyFont="1" applyFill="1" applyBorder="1" applyAlignment="1">
      <alignment horizontal="center" vertical="center"/>
    </xf>
    <xf numFmtId="2" fontId="2" fillId="2" borderId="40" xfId="0" applyNumberFormat="1" applyFont="1" applyFill="1" applyBorder="1" applyAlignment="1">
      <alignment horizontal="center"/>
    </xf>
    <xf numFmtId="0" fontId="22" fillId="0" borderId="15" xfId="0" applyFont="1" applyBorder="1" applyAlignment="1">
      <alignment horizontal="center"/>
    </xf>
    <xf numFmtId="0" fontId="22" fillId="0" borderId="21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1" fillId="9" borderId="4" xfId="0" applyFont="1" applyFill="1" applyBorder="1" applyAlignment="1">
      <alignment horizontal="center" vertical="center" wrapText="1"/>
    </xf>
    <xf numFmtId="0" fontId="1" fillId="13" borderId="9" xfId="0" applyFont="1" applyFill="1" applyBorder="1" applyAlignment="1">
      <alignment horizontal="center" vertical="center"/>
    </xf>
    <xf numFmtId="0" fontId="1" fillId="13" borderId="10" xfId="0" applyFont="1" applyFill="1" applyBorder="1" applyAlignment="1">
      <alignment horizontal="center" vertical="center"/>
    </xf>
    <xf numFmtId="0" fontId="1" fillId="13" borderId="11" xfId="0" applyFont="1" applyFill="1" applyBorder="1" applyAlignment="1">
      <alignment horizontal="center" vertical="center"/>
    </xf>
    <xf numFmtId="0" fontId="0" fillId="14" borderId="0" xfId="0" applyFill="1" applyAlignment="1">
      <alignment horizontal="center"/>
    </xf>
    <xf numFmtId="0" fontId="2" fillId="7" borderId="0" xfId="0" applyFont="1" applyFill="1" applyBorder="1" applyAlignment="1">
      <alignment vertical="center"/>
    </xf>
    <xf numFmtId="18" fontId="2" fillId="5" borderId="2" xfId="0" applyNumberFormat="1" applyFont="1" applyFill="1" applyBorder="1" applyAlignment="1">
      <alignment horizontal="center" vertical="center" textRotation="90" wrapText="1" readingOrder="1"/>
    </xf>
    <xf numFmtId="18" fontId="2" fillId="5" borderId="14" xfId="0" applyNumberFormat="1" applyFont="1" applyFill="1" applyBorder="1" applyAlignment="1">
      <alignment horizontal="center" vertical="center" textRotation="90" wrapText="1" readingOrder="1"/>
    </xf>
    <xf numFmtId="18" fontId="2" fillId="5" borderId="3" xfId="0" applyNumberFormat="1" applyFont="1" applyFill="1" applyBorder="1" applyAlignment="1">
      <alignment horizontal="center" vertical="center" textRotation="90" wrapText="1" readingOrder="1"/>
    </xf>
    <xf numFmtId="0" fontId="1" fillId="8" borderId="16" xfId="0" applyFont="1" applyFill="1" applyBorder="1" applyAlignment="1">
      <alignment horizontal="center" wrapText="1"/>
    </xf>
    <xf numFmtId="0" fontId="0" fillId="8" borderId="18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21" fillId="0" borderId="15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 wrapText="1"/>
    </xf>
    <xf numFmtId="0" fontId="2" fillId="7" borderId="0" xfId="0" applyFont="1" applyFill="1" applyBorder="1" applyAlignment="1">
      <alignment horizontal="left" vertical="center" wrapText="1"/>
    </xf>
    <xf numFmtId="0" fontId="2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3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10" xfId="0" applyBorder="1" applyAlignment="1">
      <alignment readingOrder="1"/>
    </xf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3" borderId="10" xfId="0" applyFont="1" applyFill="1" applyBorder="1" applyAlignment="1"/>
    <xf numFmtId="0" fontId="0" fillId="3" borderId="11" xfId="0" applyFill="1" applyBorder="1" applyAlignment="1"/>
    <xf numFmtId="0" fontId="2" fillId="2" borderId="10" xfId="0" applyFont="1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1" fillId="8" borderId="34" xfId="0" applyFont="1" applyFill="1" applyBorder="1" applyAlignment="1">
      <alignment horizontal="center" vertical="center"/>
    </xf>
    <xf numFmtId="0" fontId="0" fillId="8" borderId="34" xfId="0" applyFill="1" applyBorder="1" applyAlignment="1">
      <alignment horizontal="center" vertical="center"/>
    </xf>
    <xf numFmtId="0" fontId="21" fillId="8" borderId="15" xfId="0" applyFont="1" applyFill="1" applyBorder="1" applyAlignment="1">
      <alignment horizontal="center" vertical="center"/>
    </xf>
    <xf numFmtId="0" fontId="21" fillId="8" borderId="19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left" vertical="center" wrapText="1"/>
    </xf>
    <xf numFmtId="0" fontId="9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Viscosity of water</a:t>
            </a:r>
          </a:p>
        </c:rich>
      </c:tx>
      <c:layout>
        <c:manualLayout>
          <c:xMode val="edge"/>
          <c:yMode val="edge"/>
          <c:x val="0.38806010550633985"/>
          <c:y val="3.30579401739524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123686246175241"/>
          <c:y val="0.17355418591324981"/>
          <c:w val="0.7697236158669728"/>
          <c:h val="0.6831974302616835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4.8054822418470068E-2"/>
                  <c:y val="-0.63008540342713526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0.000000000347305x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- 0.000000107995290x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+ 0.000010444897593x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- 0.000543832412820x + 0.017557582729184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main!$J$87:$J$101</c:f>
              <c:numCache>
                <c:formatCode>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xVal>
          <c:yVal>
            <c:numRef>
              <c:f>main!$K$87:$K$101</c:f>
              <c:numCache>
                <c:formatCode>General</c:formatCode>
                <c:ptCount val="15"/>
                <c:pt idx="0">
                  <c:v>1.111E-2</c:v>
                </c:pt>
                <c:pt idx="1">
                  <c:v>1.0829999999999999E-2</c:v>
                </c:pt>
                <c:pt idx="2">
                  <c:v>1.056E-2</c:v>
                </c:pt>
                <c:pt idx="3">
                  <c:v>1.03E-2</c:v>
                </c:pt>
                <c:pt idx="4">
                  <c:v>1.005E-2</c:v>
                </c:pt>
                <c:pt idx="5">
                  <c:v>9.8099999999999993E-3</c:v>
                </c:pt>
                <c:pt idx="6">
                  <c:v>9.58E-3</c:v>
                </c:pt>
                <c:pt idx="7">
                  <c:v>9.3600000000000003E-3</c:v>
                </c:pt>
                <c:pt idx="8">
                  <c:v>9.1400000000000006E-3</c:v>
                </c:pt>
                <c:pt idx="9">
                  <c:v>8.94E-3</c:v>
                </c:pt>
                <c:pt idx="10">
                  <c:v>8.7399999999999995E-3</c:v>
                </c:pt>
                <c:pt idx="11">
                  <c:v>8.5500000000000003E-3</c:v>
                </c:pt>
                <c:pt idx="12">
                  <c:v>8.3599999999999994E-3</c:v>
                </c:pt>
                <c:pt idx="13">
                  <c:v>8.1799999999999998E-3</c:v>
                </c:pt>
                <c:pt idx="14">
                  <c:v>8.0099999999999998E-3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03-4385-87D7-D8489A363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717672"/>
        <c:axId val="291714144"/>
      </c:scatterChart>
      <c:valAx>
        <c:axId val="2917176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4144"/>
        <c:crosses val="autoZero"/>
        <c:crossBetween val="midCat"/>
      </c:valAx>
      <c:valAx>
        <c:axId val="291714144"/>
        <c:scaling>
          <c:orientation val="minMax"/>
          <c:max val="1.2E-2"/>
          <c:min val="7.0000000000000114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76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Water densities</a:t>
            </a:r>
          </a:p>
        </c:rich>
      </c:tx>
      <c:layout>
        <c:manualLayout>
          <c:xMode val="edge"/>
          <c:yMode val="edge"/>
          <c:x val="0.40552101065098084"/>
          <c:y val="1.63934426229508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03871839901472"/>
          <c:y val="0.22295081967213121"/>
          <c:w val="0.69851524871294313"/>
          <c:h val="0.5737704918032803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dispRSqr val="0"/>
            <c:dispEq val="1"/>
            <c:trendlineLbl>
              <c:layout>
                <c:manualLayout>
                  <c:x val="3.2617731445925294E-2"/>
                  <c:y val="-0.63108196721311682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-0.000005006464124x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- 0.000004845507430x + 1.000330653522920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main!$J$67:$J$81</c:f>
              <c:numCache>
                <c:formatCode>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xVal>
          <c:yVal>
            <c:numRef>
              <c:f>main!$K$67:$K$81</c:f>
              <c:numCache>
                <c:formatCode>General</c:formatCode>
                <c:ptCount val="15"/>
                <c:pt idx="0">
                  <c:v>0.99897000000000002</c:v>
                </c:pt>
                <c:pt idx="1">
                  <c:v>0.99880000000000002</c:v>
                </c:pt>
                <c:pt idx="2">
                  <c:v>0.99861999999999995</c:v>
                </c:pt>
                <c:pt idx="3">
                  <c:v>0.99843999999999999</c:v>
                </c:pt>
                <c:pt idx="4">
                  <c:v>0.99822999999999995</c:v>
                </c:pt>
                <c:pt idx="5">
                  <c:v>0.99802000000000002</c:v>
                </c:pt>
                <c:pt idx="6">
                  <c:v>0.99780000000000002</c:v>
                </c:pt>
                <c:pt idx="7">
                  <c:v>0.99756999999999996</c:v>
                </c:pt>
                <c:pt idx="8">
                  <c:v>0.99733000000000005</c:v>
                </c:pt>
                <c:pt idx="9">
                  <c:v>0.99707999999999997</c:v>
                </c:pt>
                <c:pt idx="10">
                  <c:v>0.99682000000000004</c:v>
                </c:pt>
                <c:pt idx="11">
                  <c:v>0.99655000000000005</c:v>
                </c:pt>
                <c:pt idx="12">
                  <c:v>0.99626999999999999</c:v>
                </c:pt>
                <c:pt idx="13">
                  <c:v>0.99597999999999998</c:v>
                </c:pt>
                <c:pt idx="14">
                  <c:v>0.99568000000000001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CE-45AC-A7B0-06C3D45FC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3568"/>
        <c:axId val="338794744"/>
      </c:scatterChart>
      <c:valAx>
        <c:axId val="3387935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4744"/>
        <c:crosses val="autoZero"/>
        <c:crossBetween val="midCat"/>
      </c:valAx>
      <c:valAx>
        <c:axId val="338794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356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25" b="1" i="0" strike="noStrike">
                <a:solidFill>
                  <a:srgbClr val="000000"/>
                </a:solidFill>
                <a:latin typeface="Arial"/>
                <a:cs typeface="Arial"/>
              </a:rPr>
              <a:t>Temparature correction, C</a:t>
            </a:r>
            <a:r>
              <a:rPr lang="en-US" sz="925" b="1" i="0" strike="noStrike" baseline="-25000">
                <a:solidFill>
                  <a:srgbClr val="000000"/>
                </a:solidFill>
                <a:latin typeface="Arial"/>
                <a:cs typeface="Arial"/>
              </a:rPr>
              <a:t>T</a:t>
            </a:r>
          </a:p>
        </c:rich>
      </c:tx>
      <c:layout>
        <c:manualLayout>
          <c:xMode val="edge"/>
          <c:yMode val="edge"/>
          <c:x val="0.33758031776704933"/>
          <c:y val="1.51975683890577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62026568360537"/>
          <c:y val="0.23100303951367784"/>
          <c:w val="0.81528831460720752"/>
          <c:h val="0.5440729483282674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4"/>
            <c:dispRSqr val="1"/>
            <c:dispEq val="1"/>
            <c:trendlineLbl>
              <c:layout>
                <c:manualLayout>
                  <c:x val="7.2278210364458292E-2"/>
                  <c:y val="-0.18630352057056698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0.000122052869731x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- 0.009759929612870x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+ 0.294922898309103x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- 3.754217108570830x + 15.630269111694700</a:t>
                    </a:r>
                  </a:p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R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= 0.99973078342715</a:t>
                    </a:r>
                    <a:r>
                      <a:rPr lang="en-US" sz="10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1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main!$J$106:$J$121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xVal>
          <c:yVal>
            <c:numRef>
              <c:f>main!$K$106:$K$121</c:f>
              <c:numCache>
                <c:formatCode>General</c:formatCode>
                <c:ptCount val="16"/>
                <c:pt idx="0">
                  <c:v>-1.1000000000000001</c:v>
                </c:pt>
                <c:pt idx="1">
                  <c:v>-0.9</c:v>
                </c:pt>
                <c:pt idx="2">
                  <c:v>-0.7</c:v>
                </c:pt>
                <c:pt idx="3">
                  <c:v>-0.5</c:v>
                </c:pt>
                <c:pt idx="4">
                  <c:v>-0.3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0.7</c:v>
                </c:pt>
                <c:pt idx="9">
                  <c:v>1</c:v>
                </c:pt>
                <c:pt idx="10">
                  <c:v>1.3</c:v>
                </c:pt>
                <c:pt idx="11">
                  <c:v>1.65</c:v>
                </c:pt>
                <c:pt idx="12">
                  <c:v>2</c:v>
                </c:pt>
                <c:pt idx="13">
                  <c:v>2.5</c:v>
                </c:pt>
                <c:pt idx="14">
                  <c:v>3.05</c:v>
                </c:pt>
                <c:pt idx="15">
                  <c:v>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7-41E5-B012-098BFB581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9448"/>
        <c:axId val="338797096"/>
      </c:scatterChart>
      <c:valAx>
        <c:axId val="3387994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7096"/>
        <c:crossesAt val="-2"/>
        <c:crossBetween val="midCat"/>
      </c:valAx>
      <c:valAx>
        <c:axId val="338797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94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paperSize="9" orientation="landscape" horizontalDpi="-4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Grain Size Distribution Curve</a:t>
            </a:r>
          </a:p>
        </c:rich>
      </c:tx>
      <c:layout>
        <c:manualLayout>
          <c:xMode val="edge"/>
          <c:yMode val="edge"/>
          <c:x val="0.29422091709729936"/>
          <c:y val="3.11005147985603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91397111946373"/>
          <c:y val="0.12918675377863537"/>
          <c:w val="0.81132047518450434"/>
          <c:h val="0.70095775661370974"/>
        </c:manualLayout>
      </c:layout>
      <c:scatterChart>
        <c:scatterStyle val="lineMarker"/>
        <c:varyColors val="0"/>
        <c:ser>
          <c:idx val="1"/>
          <c:order val="0"/>
          <c:tx>
            <c:v>Grain Size Distribution</c:v>
          </c:tx>
          <c:spPr>
            <a:ln w="19050">
              <a:solidFill>
                <a:srgbClr val="0000FF"/>
              </a:solidFill>
            </a:ln>
          </c:spPr>
          <c:marker>
            <c:symbol val="diamond"/>
            <c:size val="8"/>
            <c:spPr>
              <a:noFill/>
              <a:ln w="12700">
                <a:solidFill>
                  <a:schemeClr val="tx1"/>
                </a:solidFill>
              </a:ln>
            </c:spPr>
          </c:marker>
          <c:xVal>
            <c:numRef>
              <c:f>main!$B$79:$B$99</c:f>
              <c:numCache>
                <c:formatCode>General</c:formatCode>
                <c:ptCount val="21"/>
                <c:pt idx="0">
                  <c:v>4.75</c:v>
                </c:pt>
                <c:pt idx="1">
                  <c:v>2.36</c:v>
                </c:pt>
                <c:pt idx="2">
                  <c:v>1.18</c:v>
                </c:pt>
                <c:pt idx="3">
                  <c:v>0.6</c:v>
                </c:pt>
                <c:pt idx="4">
                  <c:v>0.3</c:v>
                </c:pt>
                <c:pt idx="5">
                  <c:v>0.15</c:v>
                </c:pt>
                <c:pt idx="6">
                  <c:v>7.4999999999999997E-2</c:v>
                </c:pt>
                <c:pt idx="7">
                  <c:v>5.0299999999999997E-2</c:v>
                </c:pt>
                <c:pt idx="8">
                  <c:v>3.635E-2</c:v>
                </c:pt>
                <c:pt idx="9">
                  <c:v>2.6380000000000001E-2</c:v>
                </c:pt>
                <c:pt idx="10">
                  <c:v>1.9120000000000002E-2</c:v>
                </c:pt>
                <c:pt idx="11">
                  <c:v>1.4030000000000001E-2</c:v>
                </c:pt>
                <c:pt idx="12">
                  <c:v>1.052E-2</c:v>
                </c:pt>
                <c:pt idx="13">
                  <c:v>7.6800000000000002E-3</c:v>
                </c:pt>
                <c:pt idx="14">
                  <c:v>5.5599999999999998E-3</c:v>
                </c:pt>
                <c:pt idx="15">
                  <c:v>4.0499999999999998E-3</c:v>
                </c:pt>
                <c:pt idx="16">
                  <c:v>2.8900000000000002E-3</c:v>
                </c:pt>
                <c:pt idx="17">
                  <c:v>2.0999999999999999E-3</c:v>
                </c:pt>
                <c:pt idx="18">
                  <c:v>1.1999999999999999E-3</c:v>
                </c:pt>
                <c:pt idx="19">
                  <c:v>8.7000000000000001E-4</c:v>
                </c:pt>
                <c:pt idx="20">
                  <c:v>0</c:v>
                </c:pt>
              </c:numCache>
            </c:numRef>
          </c:xVal>
          <c:yVal>
            <c:numRef>
              <c:f>main!$C$79:$C$99</c:f>
              <c:numCache>
                <c:formatCode>General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99.3</c:v>
                </c:pt>
                <c:pt idx="6" formatCode="0.00">
                  <c:v>98.6</c:v>
                </c:pt>
                <c:pt idx="7" formatCode="0.00">
                  <c:v>87.587847167999996</c:v>
                </c:pt>
                <c:pt idx="8" formatCode="0.00">
                  <c:v>81.787327488000003</c:v>
                </c:pt>
                <c:pt idx="9" formatCode="0.00">
                  <c:v>75.98680780799998</c:v>
                </c:pt>
                <c:pt idx="10" formatCode="0.00">
                  <c:v>70.186288127999987</c:v>
                </c:pt>
                <c:pt idx="11" formatCode="0.00">
                  <c:v>61.485508608000004</c:v>
                </c:pt>
                <c:pt idx="12" formatCode="0.00">
                  <c:v>53.751482368000005</c:v>
                </c:pt>
                <c:pt idx="13" formatCode="0.00">
                  <c:v>45.050702848</c:v>
                </c:pt>
                <c:pt idx="14" formatCode="0.00">
                  <c:v>37.316676607999995</c:v>
                </c:pt>
                <c:pt idx="15" formatCode="0.00">
                  <c:v>27.649143808000005</c:v>
                </c:pt>
                <c:pt idx="16" formatCode="0.00">
                  <c:v>24.748883967999994</c:v>
                </c:pt>
                <c:pt idx="17" formatCode="0.00">
                  <c:v>16.048104448</c:v>
                </c:pt>
                <c:pt idx="18" formatCode="0.00">
                  <c:v>15.081351168000001</c:v>
                </c:pt>
                <c:pt idx="19" formatCode="0.00">
                  <c:v>13.147844608</c:v>
                </c:pt>
                <c:pt idx="20" formatCode="0.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1-446F-914E-C7C02DEDB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6704"/>
        <c:axId val="338800232"/>
      </c:scatterChart>
      <c:valAx>
        <c:axId val="338796704"/>
        <c:scaling>
          <c:logBase val="10"/>
          <c:orientation val="maxMin"/>
          <c:max val="10"/>
          <c:min val="1.000000000000004E-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12700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Particle</a:t>
                </a:r>
                <a:r>
                  <a:rPr lang="en-US" baseline="0"/>
                  <a:t> Size</a:t>
                </a:r>
                <a:r>
                  <a:rPr lang="en-US"/>
                  <a:t> (mm)</a:t>
                </a:r>
              </a:p>
            </c:rich>
          </c:tx>
          <c:layout>
            <c:manualLayout>
              <c:xMode val="edge"/>
              <c:yMode val="edge"/>
              <c:x val="0.41097526556991232"/>
              <c:y val="0.932217910560223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800232"/>
        <c:crossesAt val="0"/>
        <c:crossBetween val="midCat"/>
      </c:valAx>
      <c:valAx>
        <c:axId val="338800232"/>
        <c:scaling>
          <c:orientation val="minMax"/>
          <c:max val="100"/>
          <c:min val="0"/>
        </c:scaling>
        <c:delete val="0"/>
        <c:axPos val="r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Finer (%)</a:t>
                </a:r>
              </a:p>
            </c:rich>
          </c:tx>
          <c:layout>
            <c:manualLayout>
              <c:xMode val="edge"/>
              <c:yMode val="edge"/>
              <c:x val="6.433647013635491E-3"/>
              <c:y val="0.288570298364129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high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6704"/>
        <c:crossesAt val="10"/>
        <c:crossBetween val="midCat"/>
        <c:majorUnit val="20"/>
        <c:minorUnit val="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 horizontalDpi="-4"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406400</xdr:colOff>
      <xdr:row>37</xdr:row>
      <xdr:rowOff>127000</xdr:rowOff>
    </xdr:from>
    <xdr:to>
      <xdr:col>14</xdr:col>
      <xdr:colOff>63500</xdr:colOff>
      <xdr:row>39</xdr:row>
      <xdr:rowOff>139700</xdr:rowOff>
    </xdr:to>
    <xdr:sp macro="[0]!_xludf.sav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8B675D1-6943-4B65-80AF-CD5C16E2C7BD}"/>
            </a:ext>
          </a:extLst>
        </xdr:cNvPr>
        <xdr:cNvSpPr/>
      </xdr:nvSpPr>
      <xdr:spPr bwMode="auto">
        <a:xfrm>
          <a:off x="7302500" y="6419850"/>
          <a:ext cx="2095500" cy="330200"/>
        </a:xfrm>
        <a:prstGeom prst="roundRect">
          <a:avLst>
            <a:gd name="adj" fmla="val 19231"/>
          </a:avLst>
        </a:prstGeom>
        <a:solidFill>
          <a:srgbClr val="92D050"/>
        </a:solidFill>
        <a:ln>
          <a:solidFill>
            <a:srgbClr val="00206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83</xdr:row>
      <xdr:rowOff>0</xdr:rowOff>
    </xdr:from>
    <xdr:to>
      <xdr:col>21</xdr:col>
      <xdr:colOff>438150</xdr:colOff>
      <xdr:row>101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200025</xdr:colOff>
      <xdr:row>63</xdr:row>
      <xdr:rowOff>0</xdr:rowOff>
    </xdr:from>
    <xdr:to>
      <xdr:col>21</xdr:col>
      <xdr:colOff>409575</xdr:colOff>
      <xdr:row>80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590550</xdr:colOff>
      <xdr:row>0</xdr:row>
      <xdr:rowOff>57150</xdr:rowOff>
    </xdr:from>
    <xdr:to>
      <xdr:col>8</xdr:col>
      <xdr:colOff>590550</xdr:colOff>
      <xdr:row>5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90550" y="57150"/>
          <a:ext cx="4876800" cy="790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257175</xdr:colOff>
      <xdr:row>103</xdr:row>
      <xdr:rowOff>9525</xdr:rowOff>
    </xdr:from>
    <xdr:to>
      <xdr:col>21</xdr:col>
      <xdr:colOff>466725</xdr:colOff>
      <xdr:row>122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10</xdr:row>
      <xdr:rowOff>123825</xdr:rowOff>
    </xdr:from>
    <xdr:to>
      <xdr:col>20</xdr:col>
      <xdr:colOff>0</xdr:colOff>
      <xdr:row>23</xdr:row>
      <xdr:rowOff>76200</xdr:rowOff>
    </xdr:to>
    <xdr:grpSp>
      <xdr:nvGrpSpPr>
        <xdr:cNvPr id="8" name="Group 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/>
        </xdr:cNvGrpSpPr>
      </xdr:nvGrpSpPr>
      <xdr:grpSpPr bwMode="auto">
        <a:xfrm>
          <a:off x="9118600" y="1774825"/>
          <a:ext cx="1365250" cy="2784475"/>
          <a:chOff x="973" y="190"/>
          <a:chExt cx="149" cy="216"/>
        </a:xfrm>
      </xdr:grpSpPr>
      <xdr:grpSp>
        <xdr:nvGrpSpPr>
          <xdr:cNvPr id="9" name="Group 10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>
            <a:grpSpLocks/>
          </xdr:cNvGrpSpPr>
        </xdr:nvGrpSpPr>
        <xdr:grpSpPr bwMode="auto">
          <a:xfrm>
            <a:off x="973" y="190"/>
            <a:ext cx="149" cy="216"/>
            <a:chOff x="973" y="190"/>
            <a:chExt cx="149" cy="216"/>
          </a:xfrm>
        </xdr:grpSpPr>
        <xdr:sp macro="" textlink="">
          <xdr:nvSpPr>
            <xdr:cNvPr id="11" name="Line 11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199"/>
              <a:ext cx="0" cy="14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" name="Line 12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5" y="199"/>
              <a:ext cx="0" cy="14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" name="Arc 13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>
              <a:spLocks/>
            </xdr:cNvSpPr>
          </xdr:nvSpPr>
          <xdr:spPr bwMode="auto">
            <a:xfrm>
              <a:off x="1045" y="191"/>
              <a:ext cx="10" cy="8"/>
            </a:xfrm>
            <a:custGeom>
              <a:avLst/>
              <a:gdLst>
                <a:gd name="G0" fmla="+- 0 0 0"/>
                <a:gd name="G1" fmla="+- 20336 0 0"/>
                <a:gd name="G2" fmla="+- 21600 0 0"/>
                <a:gd name="T0" fmla="*/ 7279 w 21600"/>
                <a:gd name="T1" fmla="*/ 0 h 20336"/>
                <a:gd name="T2" fmla="*/ 21600 w 21600"/>
                <a:gd name="T3" fmla="*/ 20336 h 20336"/>
                <a:gd name="T4" fmla="*/ 0 w 21600"/>
                <a:gd name="T5" fmla="*/ 20336 h 203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0336" fill="none" extrusionOk="0">
                  <a:moveTo>
                    <a:pt x="7279" y="-1"/>
                  </a:moveTo>
                  <a:cubicBezTo>
                    <a:pt x="15868" y="3073"/>
                    <a:pt x="21600" y="11213"/>
                    <a:pt x="21600" y="20336"/>
                  </a:cubicBezTo>
                </a:path>
                <a:path w="21600" h="20336" stroke="0" extrusionOk="0">
                  <a:moveTo>
                    <a:pt x="7279" y="-1"/>
                  </a:moveTo>
                  <a:cubicBezTo>
                    <a:pt x="15868" y="3073"/>
                    <a:pt x="21600" y="11213"/>
                    <a:pt x="21600" y="20336"/>
                  </a:cubicBezTo>
                  <a:lnTo>
                    <a:pt x="0" y="20336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" name="Arc 14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1041" y="190"/>
              <a:ext cx="9" cy="9"/>
            </a:xfrm>
            <a:custGeom>
              <a:avLst/>
              <a:gdLst>
                <a:gd name="G0" fmla="+- 0 0 0"/>
                <a:gd name="G1" fmla="+- 21226 0 0"/>
                <a:gd name="G2" fmla="+- 21600 0 0"/>
                <a:gd name="T0" fmla="*/ 4004 w 21600"/>
                <a:gd name="T1" fmla="*/ 0 h 21226"/>
                <a:gd name="T2" fmla="*/ 21600 w 21600"/>
                <a:gd name="T3" fmla="*/ 21226 h 21226"/>
                <a:gd name="T4" fmla="*/ 0 w 21600"/>
                <a:gd name="T5" fmla="*/ 21226 h 2122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1226" fill="none" extrusionOk="0">
                  <a:moveTo>
                    <a:pt x="4003" y="0"/>
                  </a:moveTo>
                  <a:cubicBezTo>
                    <a:pt x="14209" y="1925"/>
                    <a:pt x="21600" y="10840"/>
                    <a:pt x="21600" y="21226"/>
                  </a:cubicBezTo>
                </a:path>
                <a:path w="21600" h="21226" stroke="0" extrusionOk="0">
                  <a:moveTo>
                    <a:pt x="4003" y="0"/>
                  </a:moveTo>
                  <a:cubicBezTo>
                    <a:pt x="14209" y="1925"/>
                    <a:pt x="21600" y="10840"/>
                    <a:pt x="21600" y="21226"/>
                  </a:cubicBezTo>
                  <a:lnTo>
                    <a:pt x="0" y="21226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" name="Line 15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8" y="325"/>
              <a:ext cx="0" cy="7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prstDash val="dashDot"/>
              <a:round/>
              <a:headEnd/>
              <a:tailEnd/>
            </a:ln>
          </xdr:spPr>
        </xdr:sp>
        <xdr:sp macro="" textlink="">
          <xdr:nvSpPr>
            <xdr:cNvPr id="16" name="Line 16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32" y="348"/>
              <a:ext cx="9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7" name="Line 17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32" y="382"/>
              <a:ext cx="10" cy="2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8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5" y="348"/>
              <a:ext cx="8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9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53" y="380"/>
              <a:ext cx="10" cy="2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Freeform 20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>
              <a:spLocks/>
            </xdr:cNvSpPr>
          </xdr:nvSpPr>
          <xdr:spPr bwMode="auto">
            <a:xfrm>
              <a:off x="1031" y="376"/>
              <a:ext cx="1" cy="7"/>
            </a:xfrm>
            <a:custGeom>
              <a:avLst/>
              <a:gdLst/>
              <a:ahLst/>
              <a:cxnLst>
                <a:cxn ang="0">
                  <a:pos x="1" y="9"/>
                </a:cxn>
                <a:cxn ang="0">
                  <a:pos x="0" y="3"/>
                </a:cxn>
                <a:cxn ang="0">
                  <a:pos x="1" y="0"/>
                </a:cxn>
              </a:cxnLst>
              <a:rect l="0" t="0" r="r" b="b"/>
              <a:pathLst>
                <a:path w="1" h="9">
                  <a:moveTo>
                    <a:pt x="1" y="9"/>
                  </a:moveTo>
                  <a:cubicBezTo>
                    <a:pt x="0" y="6"/>
                    <a:pt x="0" y="4"/>
                    <a:pt x="0" y="3"/>
                  </a:cubicBezTo>
                  <a:cubicBezTo>
                    <a:pt x="0" y="2"/>
                    <a:pt x="1" y="0"/>
                    <a:pt x="1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Freeform 21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>
              <a:spLocks/>
            </xdr:cNvSpPr>
          </xdr:nvSpPr>
          <xdr:spPr bwMode="auto">
            <a:xfrm>
              <a:off x="1062" y="376"/>
              <a:ext cx="2" cy="6"/>
            </a:xfrm>
            <a:custGeom>
              <a:avLst/>
              <a:gdLst/>
              <a:ahLst/>
              <a:cxnLst>
                <a:cxn ang="0">
                  <a:pos x="1" y="0"/>
                </a:cxn>
                <a:cxn ang="0">
                  <a:pos x="2" y="3"/>
                </a:cxn>
                <a:cxn ang="0">
                  <a:pos x="0" y="8"/>
                </a:cxn>
              </a:cxnLst>
              <a:rect l="0" t="0" r="r" b="b"/>
              <a:pathLst>
                <a:path w="2" h="8">
                  <a:moveTo>
                    <a:pt x="1" y="0"/>
                  </a:moveTo>
                  <a:cubicBezTo>
                    <a:pt x="1" y="1"/>
                    <a:pt x="2" y="2"/>
                    <a:pt x="2" y="3"/>
                  </a:cubicBezTo>
                  <a:cubicBezTo>
                    <a:pt x="2" y="4"/>
                    <a:pt x="1" y="6"/>
                    <a:pt x="0" y="8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Freeform 22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>
              <a:spLocks/>
            </xdr:cNvSpPr>
          </xdr:nvSpPr>
          <xdr:spPr bwMode="auto">
            <a:xfrm>
              <a:off x="1042" y="400"/>
              <a:ext cx="11" cy="5"/>
            </a:xfrm>
            <a:custGeom>
              <a:avLst/>
              <a:gdLst/>
              <a:ahLst/>
              <a:cxnLst>
                <a:cxn ang="0">
                  <a:pos x="0" y="2"/>
                </a:cxn>
                <a:cxn ang="0">
                  <a:pos x="4" y="5"/>
                </a:cxn>
                <a:cxn ang="0">
                  <a:pos x="10" y="5"/>
                </a:cxn>
                <a:cxn ang="0">
                  <a:pos x="14" y="0"/>
                </a:cxn>
              </a:cxnLst>
              <a:rect l="0" t="0" r="r" b="b"/>
              <a:pathLst>
                <a:path w="14" h="6">
                  <a:moveTo>
                    <a:pt x="0" y="2"/>
                  </a:moveTo>
                  <a:cubicBezTo>
                    <a:pt x="1" y="3"/>
                    <a:pt x="2" y="4"/>
                    <a:pt x="4" y="5"/>
                  </a:cubicBezTo>
                  <a:cubicBezTo>
                    <a:pt x="6" y="6"/>
                    <a:pt x="8" y="6"/>
                    <a:pt x="10" y="5"/>
                  </a:cubicBezTo>
                  <a:cubicBezTo>
                    <a:pt x="12" y="4"/>
                    <a:pt x="13" y="2"/>
                    <a:pt x="14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Freeform 23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>
              <a:spLocks/>
            </xdr:cNvSpPr>
          </xdr:nvSpPr>
          <xdr:spPr bwMode="auto">
            <a:xfrm>
              <a:off x="1055" y="342"/>
              <a:ext cx="1" cy="5"/>
            </a:xfrm>
            <a:custGeom>
              <a:avLst/>
              <a:gdLst/>
              <a:ahLst/>
              <a:cxnLst>
                <a:cxn ang="0">
                  <a:pos x="1" y="7"/>
                </a:cxn>
                <a:cxn ang="0">
                  <a:pos x="0" y="5"/>
                </a:cxn>
                <a:cxn ang="0">
                  <a:pos x="0" y="0"/>
                </a:cxn>
              </a:cxnLst>
              <a:rect l="0" t="0" r="r" b="b"/>
              <a:pathLst>
                <a:path w="1" h="7">
                  <a:moveTo>
                    <a:pt x="1" y="7"/>
                  </a:moveTo>
                  <a:cubicBezTo>
                    <a:pt x="0" y="6"/>
                    <a:pt x="0" y="6"/>
                    <a:pt x="0" y="5"/>
                  </a:cubicBezTo>
                  <a:cubicBezTo>
                    <a:pt x="0" y="4"/>
                    <a:pt x="0" y="2"/>
                    <a:pt x="0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4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39" y="379"/>
              <a:ext cx="18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prstDash val="dashDot"/>
              <a:round/>
              <a:headEnd/>
              <a:tailEnd/>
            </a:ln>
          </xdr:spPr>
        </xdr:sp>
        <xdr:sp macro="" textlink="">
          <xdr:nvSpPr>
            <xdr:cNvPr id="25" name="Line 25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85" y="274"/>
              <a:ext cx="5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arrow" w="med" len="med"/>
              <a:tailEnd/>
            </a:ln>
          </xdr:spPr>
        </xdr:sp>
        <xdr:sp macro="" textlink="">
          <xdr:nvSpPr>
            <xdr:cNvPr id="26" name="Line 26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99" y="345"/>
              <a:ext cx="40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Arc 27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1032" y="265"/>
              <a:ext cx="9" cy="9"/>
            </a:xfrm>
            <a:custGeom>
              <a:avLst/>
              <a:gdLst>
                <a:gd name="G0" fmla="+- 0 0 0"/>
                <a:gd name="G1" fmla="+- 21600 0 0"/>
                <a:gd name="G2" fmla="+- 21600 0 0"/>
                <a:gd name="T0" fmla="*/ 0 w 21600"/>
                <a:gd name="T1" fmla="*/ 0 h 21600"/>
                <a:gd name="T2" fmla="*/ 21600 w 21600"/>
                <a:gd name="T3" fmla="*/ 21600 h 21600"/>
                <a:gd name="T4" fmla="*/ 0 w 21600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close/>
                </a:path>
              </a:pathLst>
            </a:cu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" name="Line 28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04" y="265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Text Box 29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87" y="255"/>
              <a:ext cx="21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</a:p>
          </xdr:txBody>
        </xdr:sp>
        <xdr:sp macro="" textlink="">
          <xdr:nvSpPr>
            <xdr:cNvPr id="30" name="Text Box 30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73" y="266"/>
              <a:ext cx="16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sp macro="" textlink="">
          <xdr:nvSpPr>
            <xdr:cNvPr id="31" name="Line 31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274"/>
              <a:ext cx="0" cy="27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/>
            </a:ln>
          </xdr:spPr>
        </xdr:sp>
        <xdr:sp macro="" textlink="">
          <xdr:nvSpPr>
            <xdr:cNvPr id="32" name="Text Box 32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3" y="299"/>
              <a:ext cx="17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1</a:t>
              </a:r>
            </a:p>
          </xdr:txBody>
        </xdr:sp>
        <xdr:sp macro="" textlink="">
          <xdr:nvSpPr>
            <xdr:cNvPr id="33" name="Line 33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314"/>
              <a:ext cx="0" cy="31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4" name="Line 34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00" y="406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5" name="Line 35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08" y="345"/>
              <a:ext cx="0" cy="21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6" name="Text Box 36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2" y="365"/>
              <a:ext cx="20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2</a:t>
              </a:r>
            </a:p>
          </xdr:txBody>
        </xdr:sp>
        <xdr:sp macro="" textlink="">
          <xdr:nvSpPr>
            <xdr:cNvPr id="37" name="Line 37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381"/>
              <a:ext cx="0" cy="25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8" name="Line 38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2" y="274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" name="Arc 39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>
              <a:spLocks/>
            </xdr:cNvSpPr>
          </xdr:nvSpPr>
          <xdr:spPr bwMode="auto">
            <a:xfrm>
              <a:off x="1055" y="264"/>
              <a:ext cx="9" cy="10"/>
            </a:xfrm>
            <a:custGeom>
              <a:avLst/>
              <a:gdLst>
                <a:gd name="G0" fmla="+- 21585 0 0"/>
                <a:gd name="G1" fmla="+- 0 0 0"/>
                <a:gd name="G2" fmla="+- 21600 0 0"/>
                <a:gd name="T0" fmla="*/ 20063 w 21585"/>
                <a:gd name="T1" fmla="*/ 21546 h 21546"/>
                <a:gd name="T2" fmla="*/ 0 w 21585"/>
                <a:gd name="T3" fmla="*/ 806 h 21546"/>
                <a:gd name="T4" fmla="*/ 21585 w 21585"/>
                <a:gd name="T5" fmla="*/ 0 h 215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585" h="21546" fill="none" extrusionOk="0">
                  <a:moveTo>
                    <a:pt x="20062" y="21546"/>
                  </a:moveTo>
                  <a:cubicBezTo>
                    <a:pt x="9060" y="20769"/>
                    <a:pt x="411" y="11827"/>
                    <a:pt x="0" y="805"/>
                  </a:cubicBezTo>
                </a:path>
                <a:path w="21585" h="21546" stroke="0" extrusionOk="0">
                  <a:moveTo>
                    <a:pt x="20062" y="21546"/>
                  </a:moveTo>
                  <a:cubicBezTo>
                    <a:pt x="9060" y="20769"/>
                    <a:pt x="411" y="11827"/>
                    <a:pt x="0" y="805"/>
                  </a:cubicBezTo>
                  <a:lnTo>
                    <a:pt x="21585" y="0"/>
                  </a:lnTo>
                  <a:close/>
                </a:path>
              </a:pathLst>
            </a:cu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" name="Line 40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8" y="379"/>
              <a:ext cx="29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" name="Line 41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79" y="274"/>
              <a:ext cx="0" cy="47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42" name="Text Box 42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75" y="321"/>
              <a:ext cx="11" cy="14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sp macro="" textlink="">
          <xdr:nvSpPr>
            <xdr:cNvPr id="43" name="Line 43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79" y="337"/>
              <a:ext cx="0" cy="43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44" name="Line 44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223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5" name="Line 45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36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6" name="Line 46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49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7" name="Line 47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345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" name="Line 48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61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" name="Line 49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74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" name="Line 50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85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" name="Line 51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97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" name="Line 52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309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3" name="Line 53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320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4" name="Line 54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332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5" name="Freeform 55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>
              <a:spLocks/>
            </xdr:cNvSpPr>
          </xdr:nvSpPr>
          <xdr:spPr bwMode="auto">
            <a:xfrm>
              <a:off x="1041" y="344"/>
              <a:ext cx="1" cy="4"/>
            </a:xfrm>
            <a:custGeom>
              <a:avLst/>
              <a:gdLst/>
              <a:ahLst/>
              <a:cxnLst>
                <a:cxn ang="0">
                  <a:pos x="0" y="4"/>
                </a:cxn>
                <a:cxn ang="0">
                  <a:pos x="0" y="2"/>
                </a:cxn>
                <a:cxn ang="0">
                  <a:pos x="0" y="0"/>
                </a:cxn>
              </a:cxnLst>
              <a:rect l="0" t="0" r="r" b="b"/>
              <a:pathLst>
                <a:path w="1" h="4">
                  <a:moveTo>
                    <a:pt x="0" y="4"/>
                  </a:moveTo>
                  <a:cubicBezTo>
                    <a:pt x="0" y="3"/>
                    <a:pt x="0" y="3"/>
                    <a:pt x="0" y="2"/>
                  </a:cubicBezTo>
                  <a:cubicBezTo>
                    <a:pt x="0" y="1"/>
                    <a:pt x="0" y="0"/>
                    <a:pt x="0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6" name="Line 56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22" y="257"/>
              <a:ext cx="0" cy="9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 type="none" w="sm" len="sm"/>
            </a:ln>
          </xdr:spPr>
        </xdr:sp>
        <xdr:sp macro="" textlink="">
          <xdr:nvSpPr>
            <xdr:cNvPr id="57" name="Line 57"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22" y="274"/>
              <a:ext cx="0" cy="9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 type="none" w="sm" len="sm"/>
            </a:ln>
          </xdr:spPr>
        </xdr:sp>
        <xdr:sp macro="" textlink="">
          <xdr:nvSpPr>
            <xdr:cNvPr id="58" name="Text Box 58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66" y="220"/>
              <a:ext cx="56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Meniscus</a:t>
              </a:r>
            </a:p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correction</a:t>
              </a:r>
            </a:p>
          </xdr:txBody>
        </xdr:sp>
      </xdr:grpSp>
      <xdr:sp macro="" textlink="">
        <xdr:nvSpPr>
          <xdr:cNvPr id="10" name="Line 5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22" y="231"/>
            <a:ext cx="46" cy="2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0</xdr:col>
      <xdr:colOff>38100</xdr:colOff>
      <xdr:row>0</xdr:row>
      <xdr:rowOff>1</xdr:rowOff>
    </xdr:from>
    <xdr:to>
      <xdr:col>10</xdr:col>
      <xdr:colOff>241300</xdr:colOff>
      <xdr:row>6</xdr:row>
      <xdr:rowOff>1</xdr:rowOff>
    </xdr:to>
    <xdr:pic>
      <xdr:nvPicPr>
        <xdr:cNvPr id="60" name="Picture 1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 l="1987" b="18405"/>
        <a:stretch>
          <a:fillRect/>
        </a:stretch>
      </xdr:blipFill>
      <xdr:spPr bwMode="auto">
        <a:xfrm>
          <a:off x="38100" y="1"/>
          <a:ext cx="54483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552450</xdr:colOff>
      <xdr:row>17</xdr:row>
      <xdr:rowOff>133350</xdr:rowOff>
    </xdr:from>
    <xdr:to>
      <xdr:col>8</xdr:col>
      <xdr:colOff>273558</xdr:colOff>
      <xdr:row>19</xdr:row>
      <xdr:rowOff>113157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4219575" y="3086100"/>
          <a:ext cx="978408" cy="484632"/>
        </a:xfrm>
        <a:prstGeom prst="right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533400</xdr:colOff>
      <xdr:row>20</xdr:row>
      <xdr:rowOff>161925</xdr:rowOff>
    </xdr:from>
    <xdr:to>
      <xdr:col>4</xdr:col>
      <xdr:colOff>398907</xdr:colOff>
      <xdr:row>24</xdr:row>
      <xdr:rowOff>130683</xdr:rowOff>
    </xdr:to>
    <xdr:sp macro="" textlink="">
      <xdr:nvSpPr>
        <xdr:cNvPr id="61" name="Down Arrow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2362200" y="387667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523875</xdr:colOff>
      <xdr:row>31</xdr:row>
      <xdr:rowOff>152400</xdr:rowOff>
    </xdr:from>
    <xdr:to>
      <xdr:col>4</xdr:col>
      <xdr:colOff>389382</xdr:colOff>
      <xdr:row>34</xdr:row>
      <xdr:rowOff>92583</xdr:rowOff>
    </xdr:to>
    <xdr:sp macro="" textlink="">
      <xdr:nvSpPr>
        <xdr:cNvPr id="62" name="Down Arrow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2352675" y="621982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552450</xdr:colOff>
      <xdr:row>42</xdr:row>
      <xdr:rowOff>38100</xdr:rowOff>
    </xdr:from>
    <xdr:to>
      <xdr:col>4</xdr:col>
      <xdr:colOff>417957</xdr:colOff>
      <xdr:row>46</xdr:row>
      <xdr:rowOff>92583</xdr:rowOff>
    </xdr:to>
    <xdr:sp macro="" textlink="">
      <xdr:nvSpPr>
        <xdr:cNvPr id="63" name="Down Arrow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2381250" y="843915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485775</xdr:colOff>
      <xdr:row>52</xdr:row>
      <xdr:rowOff>133350</xdr:rowOff>
    </xdr:from>
    <xdr:to>
      <xdr:col>4</xdr:col>
      <xdr:colOff>351282</xdr:colOff>
      <xdr:row>58</xdr:row>
      <xdr:rowOff>140208</xdr:rowOff>
    </xdr:to>
    <xdr:sp macro="" textlink="">
      <xdr:nvSpPr>
        <xdr:cNvPr id="64" name="Down Arrow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2314575" y="1043940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676275</xdr:colOff>
      <xdr:row>22</xdr:row>
      <xdr:rowOff>0</xdr:rowOff>
    </xdr:from>
    <xdr:to>
      <xdr:col>9</xdr:col>
      <xdr:colOff>92202</xdr:colOff>
      <xdr:row>25</xdr:row>
      <xdr:rowOff>17145</xdr:rowOff>
    </xdr:to>
    <xdr:sp macro="" textlink="">
      <xdr:nvSpPr>
        <xdr:cNvPr id="65" name="Curved Down Arrow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4343400" y="4257675"/>
          <a:ext cx="1216152" cy="731520"/>
        </a:xfrm>
        <a:prstGeom prst="curved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323850</xdr:colOff>
      <xdr:row>60</xdr:row>
      <xdr:rowOff>66675</xdr:rowOff>
    </xdr:from>
    <xdr:to>
      <xdr:col>7</xdr:col>
      <xdr:colOff>65532</xdr:colOff>
      <xdr:row>66</xdr:row>
      <xdr:rowOff>64008</xdr:rowOff>
    </xdr:to>
    <xdr:sp macro="" textlink="">
      <xdr:nvSpPr>
        <xdr:cNvPr id="66" name="Down Arrow 63">
          <a:extLst>
            <a:ext uri="{FF2B5EF4-FFF2-40B4-BE49-F238E27FC236}">
              <a16:creationId xmlns:a16="http://schemas.microsoft.com/office/drawing/2014/main" id="{DA1958EF-52A2-48AC-8654-25A62D6598CC}"/>
            </a:ext>
          </a:extLst>
        </xdr:cNvPr>
        <xdr:cNvSpPr/>
      </xdr:nvSpPr>
      <xdr:spPr bwMode="auto">
        <a:xfrm>
          <a:off x="3990975" y="1166812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70</xdr:row>
      <xdr:rowOff>38100</xdr:rowOff>
    </xdr:from>
    <xdr:to>
      <xdr:col>5</xdr:col>
      <xdr:colOff>503682</xdr:colOff>
      <xdr:row>76</xdr:row>
      <xdr:rowOff>35433</xdr:rowOff>
    </xdr:to>
    <xdr:sp macro="" textlink="">
      <xdr:nvSpPr>
        <xdr:cNvPr id="67" name="Down Arrow 63">
          <a:extLst>
            <a:ext uri="{FF2B5EF4-FFF2-40B4-BE49-F238E27FC236}">
              <a16:creationId xmlns:a16="http://schemas.microsoft.com/office/drawing/2014/main" id="{C25D2893-3842-4902-8ABE-82FB0C46611C}"/>
            </a:ext>
          </a:extLst>
        </xdr:cNvPr>
        <xdr:cNvSpPr/>
      </xdr:nvSpPr>
      <xdr:spPr bwMode="auto">
        <a:xfrm rot="2532061">
          <a:off x="3076575" y="1327785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210312</xdr:colOff>
      <xdr:row>82</xdr:row>
      <xdr:rowOff>94488</xdr:rowOff>
    </xdr:from>
    <xdr:to>
      <xdr:col>5</xdr:col>
      <xdr:colOff>579120</xdr:colOff>
      <xdr:row>84</xdr:row>
      <xdr:rowOff>131445</xdr:rowOff>
    </xdr:to>
    <xdr:sp macro="" textlink="">
      <xdr:nvSpPr>
        <xdr:cNvPr id="68" name="Down Arrow 63">
          <a:extLst>
            <a:ext uri="{FF2B5EF4-FFF2-40B4-BE49-F238E27FC236}">
              <a16:creationId xmlns:a16="http://schemas.microsoft.com/office/drawing/2014/main" id="{052BFE33-7641-4675-BAB6-CC24E0C45CED}"/>
            </a:ext>
          </a:extLst>
        </xdr:cNvPr>
        <xdr:cNvSpPr/>
      </xdr:nvSpPr>
      <xdr:spPr bwMode="auto">
        <a:xfrm rot="5400000">
          <a:off x="2905125" y="15039975"/>
          <a:ext cx="484632" cy="978408"/>
        </a:xfrm>
        <a:prstGeom prst="down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228600</xdr:colOff>
      <xdr:row>2</xdr:row>
      <xdr:rowOff>142875</xdr:rowOff>
    </xdr:from>
    <xdr:to>
      <xdr:col>6</xdr:col>
      <xdr:colOff>737235</xdr:colOff>
      <xdr:row>4</xdr:row>
      <xdr:rowOff>47625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2ABBC69-0F20-4710-9AF3-3AF570A87A51}"/>
            </a:ext>
          </a:extLst>
        </xdr:cNvPr>
        <xdr:cNvSpPr txBox="1"/>
      </xdr:nvSpPr>
      <xdr:spPr>
        <a:xfrm>
          <a:off x="838200" y="504825"/>
          <a:ext cx="356616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 algn="ctr"/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Mobile: 01819557964; PABX: 55167228-57 Ext. 7226;</a:t>
          </a:r>
          <a:r>
            <a:rPr lang="en-US" sz="850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http://brtc.ce.buet.ac.bd/#/home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</xdr:row>
      <xdr:rowOff>57150</xdr:rowOff>
    </xdr:from>
    <xdr:to>
      <xdr:col>8</xdr:col>
      <xdr:colOff>523875</xdr:colOff>
      <xdr:row>35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590550</xdr:colOff>
      <xdr:row>0</xdr:row>
      <xdr:rowOff>57150</xdr:rowOff>
    </xdr:from>
    <xdr:to>
      <xdr:col>8</xdr:col>
      <xdr:colOff>590550</xdr:colOff>
      <xdr:row>5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590550" y="57150"/>
          <a:ext cx="4876800" cy="790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0</xdr:col>
      <xdr:colOff>38100</xdr:colOff>
      <xdr:row>0</xdr:row>
      <xdr:rowOff>1</xdr:rowOff>
    </xdr:from>
    <xdr:to>
      <xdr:col>9</xdr:col>
      <xdr:colOff>19050</xdr:colOff>
      <xdr:row>6</xdr:row>
      <xdr:rowOff>1</xdr:rowOff>
    </xdr:to>
    <xdr:pic>
      <xdr:nvPicPr>
        <xdr:cNvPr id="59" name="Picture 16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 l="1987" b="18405"/>
        <a:stretch>
          <a:fillRect/>
        </a:stretch>
      </xdr:blipFill>
      <xdr:spPr bwMode="auto">
        <a:xfrm>
          <a:off x="38100" y="1"/>
          <a:ext cx="54483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238125</xdr:colOff>
      <xdr:row>2</xdr:row>
      <xdr:rowOff>133350</xdr:rowOff>
    </xdr:from>
    <xdr:to>
      <xdr:col>7</xdr:col>
      <xdr:colOff>3810</xdr:colOff>
      <xdr:row>4</xdr:row>
      <xdr:rowOff>38100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4D47807D-A3D2-4698-82F6-15C5DADDC279}"/>
            </a:ext>
          </a:extLst>
        </xdr:cNvPr>
        <xdr:cNvSpPr txBox="1"/>
      </xdr:nvSpPr>
      <xdr:spPr>
        <a:xfrm>
          <a:off x="847725" y="495300"/>
          <a:ext cx="356616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 algn="ctr"/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Mobile: 01819557964; PABX: 55167228-57 Ext. 7226;</a:t>
          </a:r>
          <a:r>
            <a:rPr lang="en-US" sz="850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http://brtc.ce.buet.ac.bd/#/home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mits-V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Report"/>
    </sheetNames>
    <sheetDataSet>
      <sheetData sheetId="0"/>
      <sheetData sheetId="1">
        <row r="36">
          <cell r="D36">
            <v>42</v>
          </cell>
        </row>
        <row r="45">
          <cell r="I45">
            <v>25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C79B4-CF8A-476A-B592-B686CFFB0A33}">
  <sheetPr codeName="Sheet2"/>
  <dimension ref="A1:P36"/>
  <sheetViews>
    <sheetView topLeftCell="B25" workbookViewId="0">
      <selection activeCell="J36" sqref="J36:P36"/>
    </sheetView>
  </sheetViews>
  <sheetFormatPr defaultRowHeight="12.5" x14ac:dyDescent="0.25"/>
  <cols>
    <col min="2" max="2" width="11.26953125" customWidth="1"/>
    <col min="3" max="3" width="15.453125" customWidth="1"/>
    <col min="4" max="4" width="16.54296875" customWidth="1"/>
    <col min="9" max="9" width="18.1796875" customWidth="1"/>
    <col min="10" max="11" width="8.7265625" customWidth="1"/>
    <col min="15" max="15" width="9.26953125" customWidth="1"/>
    <col min="16" max="16" width="12.81640625" customWidth="1"/>
  </cols>
  <sheetData>
    <row r="1" spans="1:16" ht="13" thickBot="1" x14ac:dyDescent="0.3">
      <c r="A1" s="209"/>
      <c r="D1" s="115"/>
      <c r="E1" s="115"/>
      <c r="F1" s="115"/>
      <c r="G1" s="115"/>
      <c r="H1" s="115"/>
      <c r="I1" s="115"/>
      <c r="J1" s="115"/>
      <c r="K1" s="115"/>
      <c r="L1" s="115"/>
      <c r="M1" s="116"/>
    </row>
    <row r="2" spans="1:16" ht="13" thickBot="1" x14ac:dyDescent="0.3">
      <c r="A2" s="117"/>
      <c r="B2" s="217" t="s">
        <v>178</v>
      </c>
      <c r="C2" s="186">
        <v>1000</v>
      </c>
      <c r="D2" s="34"/>
      <c r="F2" s="34"/>
      <c r="G2" s="34"/>
      <c r="H2" s="34"/>
      <c r="I2" s="34"/>
      <c r="J2" s="34"/>
      <c r="K2" s="34"/>
      <c r="L2" s="34"/>
      <c r="M2" s="118"/>
    </row>
    <row r="3" spans="1:16" ht="20.5" thickBot="1" x14ac:dyDescent="0.3">
      <c r="A3" s="117"/>
      <c r="B3" s="218" t="s">
        <v>179</v>
      </c>
      <c r="C3" s="248" t="s">
        <v>219</v>
      </c>
      <c r="D3" s="34"/>
      <c r="F3" s="43" t="s">
        <v>37</v>
      </c>
      <c r="G3" s="44" t="s">
        <v>41</v>
      </c>
      <c r="H3" s="45" t="s">
        <v>1</v>
      </c>
      <c r="I3" s="189" t="s">
        <v>158</v>
      </c>
      <c r="J3" s="186">
        <v>5</v>
      </c>
      <c r="K3" s="34"/>
      <c r="L3" s="34"/>
      <c r="M3" s="118"/>
    </row>
    <row r="4" spans="1:16" ht="14" thickBot="1" x14ac:dyDescent="0.4">
      <c r="A4" s="117"/>
      <c r="D4" s="34"/>
      <c r="F4" s="19" t="s">
        <v>38</v>
      </c>
      <c r="G4" s="48" t="s">
        <v>29</v>
      </c>
      <c r="H4" s="49" t="s">
        <v>2</v>
      </c>
      <c r="I4" s="190" t="s">
        <v>159</v>
      </c>
      <c r="J4" s="191">
        <v>0.5</v>
      </c>
      <c r="K4" s="34"/>
      <c r="L4" s="34"/>
      <c r="M4" s="118"/>
    </row>
    <row r="5" spans="1:16" ht="25.5" thickBot="1" x14ac:dyDescent="0.3">
      <c r="A5" s="117"/>
      <c r="B5" s="192" t="s">
        <v>156</v>
      </c>
      <c r="C5" s="193" t="s">
        <v>155</v>
      </c>
      <c r="D5" s="34"/>
      <c r="F5" s="26">
        <v>0.25</v>
      </c>
      <c r="G5" s="26">
        <v>48</v>
      </c>
      <c r="H5" s="26">
        <v>30</v>
      </c>
      <c r="I5" s="34"/>
      <c r="J5" s="34"/>
      <c r="K5" s="34"/>
      <c r="L5" s="34"/>
      <c r="M5" s="118"/>
    </row>
    <row r="6" spans="1:16" ht="13" x14ac:dyDescent="0.3">
      <c r="A6" s="117"/>
      <c r="B6" s="185">
        <v>4</v>
      </c>
      <c r="C6" s="194">
        <v>0</v>
      </c>
      <c r="D6" s="34"/>
      <c r="F6" s="26">
        <v>0.5</v>
      </c>
      <c r="G6" s="26">
        <v>46</v>
      </c>
      <c r="H6" s="26">
        <v>30</v>
      </c>
      <c r="I6" s="251" t="s">
        <v>21</v>
      </c>
      <c r="J6" s="252"/>
      <c r="K6" s="252"/>
      <c r="L6" s="253"/>
      <c r="M6" s="118"/>
    </row>
    <row r="7" spans="1:16" x14ac:dyDescent="0.25">
      <c r="A7" s="117"/>
      <c r="B7" s="187">
        <v>8</v>
      </c>
      <c r="C7" s="195">
        <v>0</v>
      </c>
      <c r="D7" s="34"/>
      <c r="F7" s="26">
        <v>1</v>
      </c>
      <c r="G7" s="26">
        <v>43</v>
      </c>
      <c r="H7" s="26">
        <v>30</v>
      </c>
      <c r="I7" s="117" t="s">
        <v>84</v>
      </c>
      <c r="J7" s="34"/>
      <c r="K7" s="34"/>
      <c r="L7" s="170">
        <v>7</v>
      </c>
      <c r="M7" s="118"/>
      <c r="N7" s="83"/>
      <c r="O7" s="83"/>
      <c r="P7" s="83"/>
    </row>
    <row r="8" spans="1:16" ht="13.5" x14ac:dyDescent="0.35">
      <c r="A8" s="117"/>
      <c r="B8" s="187">
        <v>16</v>
      </c>
      <c r="C8" s="195">
        <v>0</v>
      </c>
      <c r="D8" s="34"/>
      <c r="F8" s="26">
        <v>2</v>
      </c>
      <c r="G8" s="26">
        <v>40</v>
      </c>
      <c r="H8" s="26">
        <v>30</v>
      </c>
      <c r="I8" s="119" t="s">
        <v>22</v>
      </c>
      <c r="J8" s="34"/>
      <c r="K8" s="34"/>
      <c r="L8" s="120">
        <v>380.5</v>
      </c>
      <c r="M8" s="118"/>
      <c r="N8" s="225"/>
      <c r="O8" s="231"/>
      <c r="P8" s="225"/>
    </row>
    <row r="9" spans="1:16" x14ac:dyDescent="0.25">
      <c r="A9" s="117"/>
      <c r="B9" s="187">
        <v>30</v>
      </c>
      <c r="C9" s="195">
        <v>0</v>
      </c>
      <c r="D9" s="34"/>
      <c r="F9" s="26">
        <v>4</v>
      </c>
      <c r="G9" s="26">
        <v>37</v>
      </c>
      <c r="H9" s="26">
        <v>30</v>
      </c>
      <c r="I9" s="119" t="s">
        <v>23</v>
      </c>
      <c r="J9" s="34"/>
      <c r="K9" s="34"/>
      <c r="L9" s="120">
        <v>30</v>
      </c>
      <c r="M9" s="118"/>
      <c r="N9" s="225"/>
      <c r="O9" s="223"/>
    </row>
    <row r="10" spans="1:16" ht="13.5" x14ac:dyDescent="0.35">
      <c r="A10" s="117"/>
      <c r="B10" s="187">
        <v>50</v>
      </c>
      <c r="C10" s="195">
        <v>0</v>
      </c>
      <c r="D10" s="34"/>
      <c r="F10" s="26">
        <v>8</v>
      </c>
      <c r="G10" s="26">
        <v>32.5</v>
      </c>
      <c r="H10" s="26">
        <v>30</v>
      </c>
      <c r="I10" s="119" t="s">
        <v>24</v>
      </c>
      <c r="J10" s="34"/>
      <c r="K10" s="34"/>
      <c r="L10" s="120">
        <v>348.8</v>
      </c>
      <c r="M10" s="118"/>
      <c r="N10" s="225"/>
      <c r="O10" s="230"/>
    </row>
    <row r="11" spans="1:16" ht="13.5" x14ac:dyDescent="0.35">
      <c r="A11" s="117"/>
      <c r="B11" s="187">
        <v>100</v>
      </c>
      <c r="C11" s="195">
        <v>0.7</v>
      </c>
      <c r="D11" s="34"/>
      <c r="F11" s="26">
        <v>15</v>
      </c>
      <c r="G11" s="26">
        <v>28.5</v>
      </c>
      <c r="H11" s="26">
        <v>30</v>
      </c>
      <c r="I11" s="119" t="s">
        <v>25</v>
      </c>
      <c r="J11" s="34"/>
      <c r="K11" s="34"/>
      <c r="L11" s="120">
        <v>49.8</v>
      </c>
      <c r="M11" s="118"/>
      <c r="N11" s="225"/>
      <c r="O11" s="230"/>
      <c r="P11" s="227"/>
    </row>
    <row r="12" spans="1:16" x14ac:dyDescent="0.25">
      <c r="A12" s="117"/>
      <c r="B12" s="187">
        <v>200</v>
      </c>
      <c r="C12" s="195">
        <v>0.7</v>
      </c>
      <c r="D12" s="34"/>
      <c r="F12" s="26">
        <v>30</v>
      </c>
      <c r="G12" s="26">
        <v>24</v>
      </c>
      <c r="H12" s="26">
        <v>30</v>
      </c>
      <c r="I12" s="121" t="s">
        <v>26</v>
      </c>
      <c r="J12" s="34"/>
      <c r="K12" s="34"/>
      <c r="L12" s="118">
        <f>ROUND(-0.000005006464124*L9^2-0.00000484550743*L9+1.00033065352292,5)</f>
        <v>0.99568000000000001</v>
      </c>
      <c r="M12" s="118"/>
      <c r="N12" s="225"/>
      <c r="P12" s="224"/>
    </row>
    <row r="13" spans="1:16" ht="13" thickBot="1" x14ac:dyDescent="0.3">
      <c r="A13" s="117"/>
      <c r="B13" s="188" t="s">
        <v>157</v>
      </c>
      <c r="C13" s="250">
        <v>98.6</v>
      </c>
      <c r="D13" s="34"/>
      <c r="F13" s="26">
        <v>60</v>
      </c>
      <c r="G13" s="26">
        <v>20</v>
      </c>
      <c r="H13" s="26">
        <v>30</v>
      </c>
      <c r="I13" s="122" t="s">
        <v>27</v>
      </c>
      <c r="J13" s="123"/>
      <c r="K13" s="123"/>
      <c r="L13" s="124">
        <f>MROUND((L12*L11)/(L11-L8+L10),0.01)</f>
        <v>2.74</v>
      </c>
      <c r="M13" s="118"/>
      <c r="P13" s="222"/>
    </row>
    <row r="14" spans="1:16" x14ac:dyDescent="0.25">
      <c r="A14" s="117"/>
      <c r="D14" s="34"/>
      <c r="F14" s="26">
        <v>120</v>
      </c>
      <c r="G14" s="26">
        <v>15</v>
      </c>
      <c r="H14" s="26">
        <v>30</v>
      </c>
      <c r="I14" s="34"/>
      <c r="J14" s="34"/>
      <c r="K14" s="34"/>
      <c r="L14" s="34"/>
      <c r="M14" s="118"/>
      <c r="P14" s="223"/>
    </row>
    <row r="15" spans="1:16" x14ac:dyDescent="0.25">
      <c r="A15" s="117"/>
      <c r="B15" s="235" t="s">
        <v>181</v>
      </c>
      <c r="C15" s="235" t="s">
        <v>180</v>
      </c>
      <c r="D15" s="235" t="s">
        <v>182</v>
      </c>
      <c r="E15" s="235" t="s">
        <v>183</v>
      </c>
      <c r="F15" s="233">
        <v>240</v>
      </c>
      <c r="G15" s="26">
        <v>13.5</v>
      </c>
      <c r="H15" s="26">
        <v>30</v>
      </c>
      <c r="I15" s="34"/>
      <c r="J15" s="34"/>
      <c r="K15" s="34"/>
      <c r="L15" s="34"/>
      <c r="M15" s="118"/>
      <c r="O15" s="232"/>
      <c r="P15" s="229"/>
    </row>
    <row r="16" spans="1:16" x14ac:dyDescent="0.25">
      <c r="A16" s="117"/>
      <c r="B16" s="236">
        <v>36892</v>
      </c>
      <c r="C16" s="237">
        <v>0.22777777777777777</v>
      </c>
      <c r="D16" s="238" t="str">
        <f>CONCATENATE(TEXT(B16,"mm/dd/yy"),TEXT(C16," hh:mm"), " PM")</f>
        <v>01/01/01 05:28 PM</v>
      </c>
      <c r="E16" s="241">
        <f>F16</f>
        <v>480</v>
      </c>
      <c r="F16" s="233">
        <v>480</v>
      </c>
      <c r="G16" s="244">
        <v>11</v>
      </c>
      <c r="H16" s="26">
        <v>30</v>
      </c>
      <c r="I16" s="34"/>
      <c r="J16" s="34"/>
      <c r="K16" s="34"/>
      <c r="L16" s="34"/>
      <c r="M16" s="118"/>
      <c r="P16" s="228"/>
    </row>
    <row r="17" spans="1:16" x14ac:dyDescent="0.25">
      <c r="A17" s="117"/>
      <c r="B17" s="236">
        <v>36893</v>
      </c>
      <c r="C17" s="237">
        <v>0.41041666666666665</v>
      </c>
      <c r="D17" s="238" t="str">
        <f>CONCATENATE(TEXT(B17,"mm/dd/yy"),TEXT(C17," hh:mm"), " AM")</f>
        <v>01/02/01 09:51 AM</v>
      </c>
      <c r="E17" s="239">
        <f>D17-D16</f>
        <v>0.68263888888759539</v>
      </c>
      <c r="F17" s="234">
        <v>1463</v>
      </c>
      <c r="G17" s="26">
        <v>9</v>
      </c>
      <c r="H17" s="26">
        <v>30</v>
      </c>
      <c r="I17" s="242"/>
      <c r="J17" s="240"/>
      <c r="K17" s="34"/>
      <c r="L17" s="34"/>
      <c r="M17" s="118"/>
      <c r="P17" s="223"/>
    </row>
    <row r="18" spans="1:16" x14ac:dyDescent="0.25">
      <c r="A18" s="117"/>
      <c r="B18" s="236">
        <v>36894</v>
      </c>
      <c r="C18" s="237">
        <v>0.37638888888888888</v>
      </c>
      <c r="D18" s="238" t="str">
        <f>CONCATENATE(TEXT(B18,"mm/dd/yy"),TEXT(C18," hh:mm"), " AM")</f>
        <v>01/03/01 09:02 AM</v>
      </c>
      <c r="E18" s="239">
        <f t="shared" ref="E18:E19" si="0">D18-D17</f>
        <v>0.96597222222044365</v>
      </c>
      <c r="F18" s="233">
        <v>2854</v>
      </c>
      <c r="G18" s="26">
        <v>8.5</v>
      </c>
      <c r="H18" s="26">
        <v>30</v>
      </c>
      <c r="I18" s="34"/>
      <c r="J18" s="240"/>
      <c r="K18" s="34"/>
      <c r="L18" s="34"/>
      <c r="M18" s="118"/>
      <c r="P18" s="226"/>
    </row>
    <row r="19" spans="1:16" x14ac:dyDescent="0.25">
      <c r="A19" s="117"/>
      <c r="B19" s="236">
        <v>36895</v>
      </c>
      <c r="C19" s="237">
        <v>0.37916666666666665</v>
      </c>
      <c r="D19" s="238" t="str">
        <f>CONCATENATE(TEXT(B19,"mm/dd/yy"),TEXT(C19," hh:mm"), " AM")</f>
        <v>01/04/01 09:06 AM</v>
      </c>
      <c r="E19" s="239">
        <f t="shared" si="0"/>
        <v>1.0027777777795563</v>
      </c>
      <c r="F19" s="233">
        <v>4298</v>
      </c>
      <c r="G19" s="26">
        <v>7.5</v>
      </c>
      <c r="H19" s="26">
        <v>29</v>
      </c>
      <c r="I19" s="34"/>
      <c r="J19" s="240"/>
      <c r="K19" s="34"/>
      <c r="L19" s="34"/>
      <c r="M19" s="118"/>
      <c r="P19" s="223"/>
    </row>
    <row r="20" spans="1:16" ht="13" thickBot="1" x14ac:dyDescent="0.3">
      <c r="A20" s="210"/>
      <c r="B20" s="123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211"/>
    </row>
    <row r="22" spans="1:16" ht="14" x14ac:dyDescent="0.3">
      <c r="B22" s="196" t="s">
        <v>160</v>
      </c>
      <c r="E22" s="1"/>
      <c r="F22" s="1"/>
      <c r="G22" s="1"/>
      <c r="H22" s="1"/>
      <c r="J22" s="196" t="s">
        <v>169</v>
      </c>
      <c r="M22" s="204"/>
    </row>
    <row r="23" spans="1:16" x14ac:dyDescent="0.25">
      <c r="B23" s="71" t="s">
        <v>161</v>
      </c>
      <c r="C23" s="197"/>
      <c r="D23" s="198">
        <v>1</v>
      </c>
      <c r="E23" s="12">
        <v>2</v>
      </c>
      <c r="F23" s="12">
        <v>3</v>
      </c>
      <c r="G23" s="12">
        <v>4</v>
      </c>
      <c r="H23" s="12">
        <v>5</v>
      </c>
      <c r="J23" s="71" t="s">
        <v>161</v>
      </c>
      <c r="K23" s="31"/>
      <c r="L23" s="197"/>
      <c r="M23" s="201">
        <v>1</v>
      </c>
      <c r="N23" s="201">
        <v>2</v>
      </c>
      <c r="O23" s="201">
        <v>3</v>
      </c>
    </row>
    <row r="24" spans="1:16" x14ac:dyDescent="0.25">
      <c r="B24" s="71" t="s">
        <v>162</v>
      </c>
      <c r="C24" s="37"/>
      <c r="D24" s="199">
        <v>15</v>
      </c>
      <c r="E24" s="200">
        <v>20</v>
      </c>
      <c r="F24" s="200">
        <v>25</v>
      </c>
      <c r="G24" s="200">
        <v>30</v>
      </c>
      <c r="H24" s="200">
        <v>35</v>
      </c>
      <c r="J24" s="201" t="s">
        <v>163</v>
      </c>
      <c r="K24" s="71"/>
      <c r="L24" s="197"/>
      <c r="M24" s="205">
        <v>7.1</v>
      </c>
      <c r="N24" s="205">
        <v>10.23</v>
      </c>
      <c r="O24" s="202">
        <v>9.8000000000000007</v>
      </c>
    </row>
    <row r="25" spans="1:16" x14ac:dyDescent="0.25">
      <c r="B25" s="201" t="s">
        <v>163</v>
      </c>
      <c r="C25" s="201"/>
      <c r="D25" s="202">
        <v>7.33</v>
      </c>
      <c r="E25" s="202">
        <v>10.83</v>
      </c>
      <c r="F25" s="202">
        <v>10.83</v>
      </c>
      <c r="G25" s="202">
        <v>7.35</v>
      </c>
      <c r="H25" s="202">
        <v>9.0500000000000007</v>
      </c>
      <c r="J25" s="201" t="s">
        <v>170</v>
      </c>
      <c r="K25" s="206"/>
      <c r="L25" s="37"/>
      <c r="M25" s="205">
        <v>41.97</v>
      </c>
      <c r="N25" s="205">
        <v>46.2</v>
      </c>
      <c r="O25" s="202">
        <v>43.17</v>
      </c>
    </row>
    <row r="26" spans="1:16" x14ac:dyDescent="0.25">
      <c r="B26" s="201" t="s">
        <v>164</v>
      </c>
      <c r="C26" s="14"/>
      <c r="D26" s="202">
        <v>43.41</v>
      </c>
      <c r="E26" s="202">
        <v>42.58</v>
      </c>
      <c r="F26" s="202">
        <v>41.74</v>
      </c>
      <c r="G26" s="202">
        <v>41.36</v>
      </c>
      <c r="H26" s="202">
        <v>41.09</v>
      </c>
      <c r="J26" s="201" t="s">
        <v>171</v>
      </c>
      <c r="K26" s="71"/>
      <c r="L26" s="207"/>
      <c r="M26" s="205">
        <v>35</v>
      </c>
      <c r="N26" s="205">
        <v>38.83</v>
      </c>
      <c r="O26" s="202">
        <v>36.39</v>
      </c>
    </row>
    <row r="27" spans="1:16" x14ac:dyDescent="0.25">
      <c r="B27" s="201" t="s">
        <v>165</v>
      </c>
      <c r="C27" s="201"/>
      <c r="D27" s="202">
        <v>32.020000000000003</v>
      </c>
      <c r="E27" s="202">
        <v>32.840000000000003</v>
      </c>
      <c r="F27" s="202">
        <v>33</v>
      </c>
      <c r="G27" s="202">
        <v>31.26</v>
      </c>
      <c r="H27" s="202">
        <v>31.72</v>
      </c>
      <c r="J27" s="201" t="s">
        <v>172</v>
      </c>
      <c r="K27" s="71"/>
      <c r="L27" s="208"/>
      <c r="M27" s="201">
        <f>M25-M26</f>
        <v>6.9699999999999989</v>
      </c>
      <c r="N27" s="201">
        <f>N25-N26</f>
        <v>7.3700000000000045</v>
      </c>
      <c r="O27" s="201">
        <f>O25-O26</f>
        <v>6.7800000000000011</v>
      </c>
    </row>
    <row r="28" spans="1:16" ht="13.5" x14ac:dyDescent="0.35">
      <c r="B28" s="201" t="s">
        <v>166</v>
      </c>
      <c r="C28" s="201"/>
      <c r="D28" s="201">
        <f>D26-D27</f>
        <v>11.389999999999993</v>
      </c>
      <c r="E28" s="201">
        <f>E26-E27</f>
        <v>9.7399999999999949</v>
      </c>
      <c r="F28" s="201">
        <f>F26-F27</f>
        <v>8.740000000000002</v>
      </c>
      <c r="G28" s="201">
        <f>G26-G27</f>
        <v>10.099999999999998</v>
      </c>
      <c r="H28" s="201">
        <f>H26-H27</f>
        <v>9.3700000000000045</v>
      </c>
      <c r="J28" s="201" t="s">
        <v>173</v>
      </c>
      <c r="K28" s="71"/>
      <c r="L28" s="37"/>
      <c r="M28" s="201">
        <f>M26-M24</f>
        <v>27.9</v>
      </c>
      <c r="N28" s="201">
        <f>N26-N24</f>
        <v>28.599999999999998</v>
      </c>
      <c r="O28" s="201">
        <f>O26-O24</f>
        <v>26.59</v>
      </c>
    </row>
    <row r="29" spans="1:16" ht="13.5" x14ac:dyDescent="0.35">
      <c r="B29" s="201" t="s">
        <v>167</v>
      </c>
      <c r="C29" s="201"/>
      <c r="D29" s="201">
        <f>D27-D25</f>
        <v>24.690000000000005</v>
      </c>
      <c r="E29" s="201">
        <f>E27-E25</f>
        <v>22.010000000000005</v>
      </c>
      <c r="F29" s="201">
        <f>F27-F25</f>
        <v>22.17</v>
      </c>
      <c r="G29" s="201">
        <f>G27-G25</f>
        <v>23.910000000000004</v>
      </c>
      <c r="H29" s="201">
        <f>H27-H25</f>
        <v>22.669999999999998</v>
      </c>
      <c r="J29" s="201" t="s">
        <v>168</v>
      </c>
      <c r="K29" s="71"/>
      <c r="L29" s="37"/>
      <c r="M29" s="203">
        <f>M27/M28*100</f>
        <v>24.982078853046591</v>
      </c>
      <c r="N29" s="203">
        <f>N27/N28*100</f>
        <v>25.769230769230788</v>
      </c>
      <c r="O29" s="203">
        <f>O27/O28*100</f>
        <v>25.498307634449048</v>
      </c>
    </row>
    <row r="30" spans="1:16" x14ac:dyDescent="0.25">
      <c r="B30" s="201" t="s">
        <v>168</v>
      </c>
      <c r="C30" s="201"/>
      <c r="D30" s="203">
        <f>D28/D29*100</f>
        <v>46.132037262049373</v>
      </c>
      <c r="E30" s="203">
        <f>E28/E29*100</f>
        <v>44.252612448886836</v>
      </c>
      <c r="F30" s="203">
        <f>F28/F29*100</f>
        <v>39.42264321154714</v>
      </c>
      <c r="G30" s="203">
        <f>G28/G29*100</f>
        <v>42.24173985780007</v>
      </c>
      <c r="H30" s="203">
        <f>H28/H29*100</f>
        <v>41.332157035730063</v>
      </c>
    </row>
    <row r="34" spans="9:16" x14ac:dyDescent="0.25">
      <c r="J34" s="254" t="s">
        <v>177</v>
      </c>
      <c r="K34" s="254"/>
      <c r="L34" s="254"/>
      <c r="M34" s="254"/>
      <c r="N34" s="254"/>
      <c r="O34" s="254"/>
      <c r="P34" s="254"/>
    </row>
    <row r="35" spans="9:16" x14ac:dyDescent="0.25">
      <c r="J35" s="212" t="s">
        <v>174</v>
      </c>
      <c r="K35" s="213" t="s">
        <v>118</v>
      </c>
      <c r="L35" s="213" t="s">
        <v>119</v>
      </c>
      <c r="M35" s="213" t="s">
        <v>175</v>
      </c>
      <c r="N35" s="213" t="s">
        <v>176</v>
      </c>
      <c r="O35" s="213" t="s">
        <v>124</v>
      </c>
      <c r="P35" s="213" t="s">
        <v>123</v>
      </c>
    </row>
    <row r="36" spans="9:16" ht="21.65" customHeight="1" x14ac:dyDescent="0.25">
      <c r="I36">
        <f>SUM(J36:L36)</f>
        <v>100</v>
      </c>
      <c r="J36" s="214">
        <f>Report!C39+Report!C38+Report!C37</f>
        <v>1.4</v>
      </c>
      <c r="K36" s="214">
        <f>Report!C40</f>
        <v>64.52</v>
      </c>
      <c r="L36" s="214">
        <f>Report!C41</f>
        <v>34.08</v>
      </c>
      <c r="M36" s="215">
        <f>[1]Report!$D$36</f>
        <v>42</v>
      </c>
      <c r="N36" s="215">
        <f>[1]Report!$I$45</f>
        <v>25</v>
      </c>
      <c r="O36" s="214" t="str">
        <f>Report!H41</f>
        <v>---</v>
      </c>
      <c r="P36" s="214" t="str">
        <f>Report!H40</f>
        <v>---</v>
      </c>
    </row>
  </sheetData>
  <mergeCells count="2">
    <mergeCell ref="I6:L6"/>
    <mergeCell ref="J34:P3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27A01-0A1C-4C66-B18D-38DDC96AB035}">
  <sheetPr codeName="Sheet5"/>
  <dimension ref="A1:Q351"/>
  <sheetViews>
    <sheetView tabSelected="1" topLeftCell="A60" workbookViewId="0">
      <selection activeCell="M75" sqref="M75"/>
    </sheetView>
  </sheetViews>
  <sheetFormatPr defaultRowHeight="12.5" x14ac:dyDescent="0.25"/>
  <cols>
    <col min="1" max="1" width="12.81640625" customWidth="1"/>
    <col min="2" max="2" width="17.7265625" customWidth="1"/>
  </cols>
  <sheetData>
    <row r="1" spans="1:10" x14ac:dyDescent="0.25">
      <c r="A1" s="219" t="s">
        <v>178</v>
      </c>
      <c r="B1" s="219" t="s">
        <v>179</v>
      </c>
      <c r="C1" s="220" t="s">
        <v>174</v>
      </c>
      <c r="D1" s="221" t="s">
        <v>118</v>
      </c>
      <c r="E1" s="221" t="s">
        <v>119</v>
      </c>
      <c r="F1" s="221" t="s">
        <v>175</v>
      </c>
      <c r="G1" s="221" t="s">
        <v>176</v>
      </c>
      <c r="H1" s="221" t="s">
        <v>124</v>
      </c>
      <c r="I1" s="221" t="s">
        <v>123</v>
      </c>
      <c r="J1" s="243" t="s">
        <v>185</v>
      </c>
    </row>
    <row r="2" spans="1:10" x14ac:dyDescent="0.25">
      <c r="A2" s="246">
        <v>1000</v>
      </c>
      <c r="B2" s="246" t="s">
        <v>219</v>
      </c>
      <c r="C2" s="247">
        <v>5</v>
      </c>
      <c r="D2" s="247">
        <v>59.04</v>
      </c>
      <c r="E2" s="247">
        <v>35.96</v>
      </c>
      <c r="F2" s="245">
        <v>34</v>
      </c>
      <c r="G2" s="245">
        <v>21</v>
      </c>
      <c r="H2" s="247" t="s">
        <v>184</v>
      </c>
      <c r="I2" s="247" t="s">
        <v>184</v>
      </c>
      <c r="J2">
        <v>51</v>
      </c>
    </row>
    <row r="3" spans="1:10" x14ac:dyDescent="0.25">
      <c r="A3" s="216">
        <v>60</v>
      </c>
      <c r="B3" s="216" t="s">
        <v>187</v>
      </c>
      <c r="C3" s="216">
        <v>11.1</v>
      </c>
      <c r="D3" s="216">
        <v>66.33</v>
      </c>
      <c r="E3" s="216">
        <v>22.58</v>
      </c>
      <c r="F3" s="216">
        <v>31</v>
      </c>
      <c r="G3" s="216">
        <v>20</v>
      </c>
      <c r="H3" s="216" t="s">
        <v>184</v>
      </c>
      <c r="I3" s="216" t="s">
        <v>184</v>
      </c>
      <c r="J3">
        <f>J2+1</f>
        <v>52</v>
      </c>
    </row>
    <row r="4" spans="1:10" x14ac:dyDescent="0.25">
      <c r="A4" s="216">
        <v>62</v>
      </c>
      <c r="B4" s="216" t="s">
        <v>188</v>
      </c>
      <c r="C4" s="216">
        <v>7.3</v>
      </c>
      <c r="D4" s="216">
        <v>70.17</v>
      </c>
      <c r="E4" s="216">
        <v>22.52</v>
      </c>
      <c r="F4" s="216">
        <v>36</v>
      </c>
      <c r="G4" s="216">
        <v>24</v>
      </c>
      <c r="H4" s="216">
        <v>2.67</v>
      </c>
      <c r="I4" s="216">
        <v>24</v>
      </c>
      <c r="J4">
        <f t="shared" ref="J4:J67" si="0">J3+1</f>
        <v>53</v>
      </c>
    </row>
    <row r="5" spans="1:10" x14ac:dyDescent="0.25">
      <c r="A5" s="216">
        <v>63</v>
      </c>
      <c r="B5" s="216" t="s">
        <v>189</v>
      </c>
      <c r="C5" s="216">
        <v>11.1</v>
      </c>
      <c r="D5" s="216">
        <v>64.040000000000006</v>
      </c>
      <c r="E5" s="216">
        <v>24.87</v>
      </c>
      <c r="F5" s="216">
        <v>38</v>
      </c>
      <c r="G5" s="216">
        <v>23</v>
      </c>
      <c r="H5" s="216" t="s">
        <v>184</v>
      </c>
      <c r="I5" s="216" t="s">
        <v>184</v>
      </c>
      <c r="J5">
        <f t="shared" si="0"/>
        <v>54</v>
      </c>
    </row>
    <row r="6" spans="1:10" x14ac:dyDescent="0.25">
      <c r="A6" s="216">
        <v>64</v>
      </c>
      <c r="B6" s="216" t="s">
        <v>190</v>
      </c>
      <c r="C6" s="216">
        <v>1.6</v>
      </c>
      <c r="D6" s="216">
        <v>79</v>
      </c>
      <c r="E6" s="216">
        <v>19.39</v>
      </c>
      <c r="F6" s="216">
        <v>39</v>
      </c>
      <c r="G6" s="216">
        <v>28</v>
      </c>
      <c r="H6" s="216">
        <v>1.84</v>
      </c>
      <c r="I6" s="216">
        <v>11</v>
      </c>
      <c r="J6">
        <f t="shared" si="0"/>
        <v>55</v>
      </c>
    </row>
    <row r="7" spans="1:10" x14ac:dyDescent="0.25">
      <c r="A7" s="216">
        <v>65</v>
      </c>
      <c r="B7" s="216" t="s">
        <v>186</v>
      </c>
      <c r="C7" s="216">
        <v>7.3</v>
      </c>
      <c r="D7" s="216">
        <v>71.069999999999993</v>
      </c>
      <c r="E7" s="216">
        <v>21.63</v>
      </c>
      <c r="F7" s="216">
        <v>37</v>
      </c>
      <c r="G7" s="216">
        <v>25</v>
      </c>
      <c r="H7" s="216" t="s">
        <v>184</v>
      </c>
      <c r="I7" s="216" t="s">
        <v>184</v>
      </c>
      <c r="J7">
        <f t="shared" si="0"/>
        <v>56</v>
      </c>
    </row>
    <row r="8" spans="1:10" x14ac:dyDescent="0.25">
      <c r="A8" s="216">
        <v>66</v>
      </c>
      <c r="B8" s="216" t="s">
        <v>191</v>
      </c>
      <c r="C8" s="216">
        <v>1.6</v>
      </c>
      <c r="D8" s="216">
        <v>42.03</v>
      </c>
      <c r="E8" s="216">
        <v>56.37</v>
      </c>
      <c r="F8" s="216">
        <v>45</v>
      </c>
      <c r="G8" s="216">
        <v>25</v>
      </c>
      <c r="H8" s="216" t="s">
        <v>184</v>
      </c>
      <c r="I8" s="216" t="s">
        <v>184</v>
      </c>
      <c r="J8">
        <f t="shared" si="0"/>
        <v>57</v>
      </c>
    </row>
    <row r="9" spans="1:10" x14ac:dyDescent="0.25">
      <c r="A9" s="216">
        <v>69</v>
      </c>
      <c r="B9" s="216" t="s">
        <v>187</v>
      </c>
      <c r="C9" s="216">
        <v>3.1</v>
      </c>
      <c r="D9" s="216">
        <v>66.180000000000007</v>
      </c>
      <c r="E9" s="216">
        <v>30.72</v>
      </c>
      <c r="F9" s="216">
        <v>37</v>
      </c>
      <c r="G9" s="216">
        <v>23</v>
      </c>
      <c r="H9" s="216" t="s">
        <v>184</v>
      </c>
      <c r="I9" s="216" t="s">
        <v>184</v>
      </c>
      <c r="J9">
        <f t="shared" si="0"/>
        <v>58</v>
      </c>
    </row>
    <row r="10" spans="1:10" x14ac:dyDescent="0.25">
      <c r="A10" s="216">
        <v>70</v>
      </c>
      <c r="B10" s="216" t="s">
        <v>192</v>
      </c>
      <c r="C10" s="216">
        <v>2.1</v>
      </c>
      <c r="D10" s="216">
        <v>70.02</v>
      </c>
      <c r="E10" s="216">
        <v>27.89</v>
      </c>
      <c r="F10" s="216">
        <v>39</v>
      </c>
      <c r="G10" s="216">
        <v>21</v>
      </c>
      <c r="H10" s="216" t="s">
        <v>184</v>
      </c>
      <c r="I10" s="216" t="s">
        <v>184</v>
      </c>
      <c r="J10">
        <f t="shared" si="0"/>
        <v>59</v>
      </c>
    </row>
    <row r="11" spans="1:10" x14ac:dyDescent="0.25">
      <c r="A11" s="216">
        <v>72</v>
      </c>
      <c r="B11" s="216" t="s">
        <v>193</v>
      </c>
      <c r="C11" s="216">
        <v>2.5</v>
      </c>
      <c r="D11" s="216">
        <v>73.8</v>
      </c>
      <c r="E11" s="216">
        <v>23.689999999999998</v>
      </c>
      <c r="F11" s="216">
        <v>39</v>
      </c>
      <c r="G11" s="216">
        <v>26</v>
      </c>
      <c r="H11" s="216" t="s">
        <v>184</v>
      </c>
      <c r="I11" s="216" t="s">
        <v>184</v>
      </c>
      <c r="J11">
        <f t="shared" si="0"/>
        <v>60</v>
      </c>
    </row>
    <row r="12" spans="1:10" x14ac:dyDescent="0.25">
      <c r="A12" s="216">
        <v>74</v>
      </c>
      <c r="B12" s="216" t="s">
        <v>187</v>
      </c>
      <c r="C12" s="216">
        <v>0.9</v>
      </c>
      <c r="D12" s="216">
        <v>68.94</v>
      </c>
      <c r="E12" s="216">
        <v>30.159999999999997</v>
      </c>
      <c r="F12" s="216">
        <v>37</v>
      </c>
      <c r="G12" s="216">
        <v>25</v>
      </c>
      <c r="H12" s="216" t="s">
        <v>184</v>
      </c>
      <c r="I12" s="216" t="s">
        <v>184</v>
      </c>
      <c r="J12">
        <f t="shared" si="0"/>
        <v>61</v>
      </c>
    </row>
    <row r="13" spans="1:10" x14ac:dyDescent="0.25">
      <c r="A13" s="216">
        <v>75</v>
      </c>
      <c r="B13" s="216" t="s">
        <v>194</v>
      </c>
      <c r="C13" s="216">
        <v>1.6</v>
      </c>
      <c r="D13" s="216">
        <v>74.28</v>
      </c>
      <c r="E13" s="216">
        <v>24.119999999999997</v>
      </c>
      <c r="F13" s="216">
        <v>39</v>
      </c>
      <c r="G13" s="216">
        <v>30</v>
      </c>
      <c r="H13" s="216" t="s">
        <v>184</v>
      </c>
      <c r="I13" s="216" t="s">
        <v>184</v>
      </c>
      <c r="J13">
        <f t="shared" si="0"/>
        <v>62</v>
      </c>
    </row>
    <row r="14" spans="1:10" x14ac:dyDescent="0.25">
      <c r="A14" s="216">
        <v>76</v>
      </c>
      <c r="B14" s="216" t="s">
        <v>195</v>
      </c>
      <c r="C14" s="216">
        <v>1.7</v>
      </c>
      <c r="D14" s="216">
        <v>83.18</v>
      </c>
      <c r="E14" s="216">
        <v>15.12</v>
      </c>
      <c r="F14" s="216">
        <v>48</v>
      </c>
      <c r="G14" s="216">
        <v>26</v>
      </c>
      <c r="H14" s="216">
        <v>1.71</v>
      </c>
      <c r="I14" s="216">
        <v>9.33</v>
      </c>
      <c r="J14">
        <f t="shared" si="0"/>
        <v>63</v>
      </c>
    </row>
    <row r="15" spans="1:10" x14ac:dyDescent="0.25">
      <c r="A15" s="216">
        <v>76</v>
      </c>
      <c r="B15" s="216" t="s">
        <v>196</v>
      </c>
      <c r="C15" s="216">
        <v>4.3</v>
      </c>
      <c r="D15" s="216">
        <v>65.27</v>
      </c>
      <c r="E15" s="216">
        <v>30.43</v>
      </c>
      <c r="F15" s="216">
        <v>38</v>
      </c>
      <c r="G15" s="216">
        <v>23</v>
      </c>
      <c r="H15" s="216" t="s">
        <v>184</v>
      </c>
      <c r="I15" s="216" t="s">
        <v>184</v>
      </c>
      <c r="J15">
        <f t="shared" si="0"/>
        <v>64</v>
      </c>
    </row>
    <row r="16" spans="1:10" x14ac:dyDescent="0.25">
      <c r="A16" s="216">
        <v>76</v>
      </c>
      <c r="B16" s="216" t="s">
        <v>146</v>
      </c>
      <c r="C16" s="216">
        <v>1.9</v>
      </c>
      <c r="D16" s="216">
        <v>62.39</v>
      </c>
      <c r="E16" s="216">
        <v>35.72</v>
      </c>
      <c r="F16" s="216">
        <v>55</v>
      </c>
      <c r="G16" s="216">
        <v>26</v>
      </c>
      <c r="H16" s="216" t="s">
        <v>184</v>
      </c>
      <c r="I16" s="216" t="s">
        <v>184</v>
      </c>
      <c r="J16">
        <f t="shared" si="0"/>
        <v>65</v>
      </c>
    </row>
    <row r="17" spans="1:17" x14ac:dyDescent="0.25">
      <c r="A17" s="216">
        <v>77</v>
      </c>
      <c r="B17" s="216" t="s">
        <v>190</v>
      </c>
      <c r="C17" s="216">
        <v>2.9</v>
      </c>
      <c r="D17" s="216">
        <v>76</v>
      </c>
      <c r="E17" s="216">
        <v>21.1</v>
      </c>
      <c r="F17" s="216">
        <v>37</v>
      </c>
      <c r="G17" s="216">
        <v>26</v>
      </c>
      <c r="H17" s="216" t="s">
        <v>184</v>
      </c>
      <c r="I17" s="216" t="s">
        <v>184</v>
      </c>
      <c r="J17">
        <f t="shared" si="0"/>
        <v>66</v>
      </c>
      <c r="L17" s="249" t="s">
        <v>197</v>
      </c>
      <c r="M17" s="255" t="s">
        <v>211</v>
      </c>
      <c r="N17" s="256"/>
      <c r="O17" s="256"/>
      <c r="P17" s="256"/>
      <c r="Q17" s="257"/>
    </row>
    <row r="18" spans="1:17" x14ac:dyDescent="0.25">
      <c r="A18" s="216">
        <v>77</v>
      </c>
      <c r="B18" s="216" t="s">
        <v>188</v>
      </c>
      <c r="C18" s="216">
        <v>3</v>
      </c>
      <c r="D18" s="216">
        <v>68.22</v>
      </c>
      <c r="E18" s="216">
        <v>28.779999999999998</v>
      </c>
      <c r="F18" s="216">
        <v>38</v>
      </c>
      <c r="G18" s="216">
        <v>24</v>
      </c>
      <c r="H18" s="216" t="s">
        <v>184</v>
      </c>
      <c r="I18" s="216" t="s">
        <v>184</v>
      </c>
      <c r="J18">
        <f t="shared" si="0"/>
        <v>67</v>
      </c>
    </row>
    <row r="19" spans="1:17" x14ac:dyDescent="0.25">
      <c r="A19" s="216">
        <v>79</v>
      </c>
      <c r="B19" s="216" t="s">
        <v>146</v>
      </c>
      <c r="C19" s="216">
        <v>0.3</v>
      </c>
      <c r="D19" s="216">
        <v>73.66</v>
      </c>
      <c r="E19" s="216">
        <v>26.03</v>
      </c>
      <c r="F19" s="216">
        <v>42</v>
      </c>
      <c r="G19" s="216">
        <v>28</v>
      </c>
      <c r="H19" s="216" t="s">
        <v>184</v>
      </c>
      <c r="I19" s="216" t="s">
        <v>184</v>
      </c>
      <c r="J19">
        <f t="shared" si="0"/>
        <v>68</v>
      </c>
    </row>
    <row r="20" spans="1:17" x14ac:dyDescent="0.25">
      <c r="A20" s="216">
        <v>83</v>
      </c>
      <c r="B20" s="216" t="s">
        <v>146</v>
      </c>
      <c r="C20" s="216">
        <v>1.5</v>
      </c>
      <c r="D20" s="216">
        <v>58.07</v>
      </c>
      <c r="E20" s="216">
        <v>40.44</v>
      </c>
      <c r="F20" s="216">
        <v>61</v>
      </c>
      <c r="G20" s="216">
        <v>32</v>
      </c>
      <c r="H20" s="216" t="s">
        <v>184</v>
      </c>
      <c r="I20" s="216" t="s">
        <v>184</v>
      </c>
      <c r="J20">
        <f t="shared" si="0"/>
        <v>69</v>
      </c>
    </row>
    <row r="21" spans="1:17" x14ac:dyDescent="0.25">
      <c r="A21" s="216">
        <v>83</v>
      </c>
      <c r="B21" s="216" t="s">
        <v>193</v>
      </c>
      <c r="C21" s="216">
        <v>1.9</v>
      </c>
      <c r="D21" s="216">
        <v>72.290000000000006</v>
      </c>
      <c r="E21" s="216">
        <v>25.810000000000002</v>
      </c>
      <c r="F21" s="216">
        <v>37</v>
      </c>
      <c r="G21" s="216">
        <v>26</v>
      </c>
      <c r="H21" s="216" t="s">
        <v>184</v>
      </c>
      <c r="I21" s="216" t="s">
        <v>184</v>
      </c>
      <c r="J21">
        <f t="shared" si="0"/>
        <v>70</v>
      </c>
    </row>
    <row r="22" spans="1:17" x14ac:dyDescent="0.25">
      <c r="A22" s="216">
        <v>83</v>
      </c>
      <c r="B22" s="216" t="s">
        <v>198</v>
      </c>
      <c r="C22" s="216">
        <v>7.9</v>
      </c>
      <c r="D22" s="216">
        <v>69.73</v>
      </c>
      <c r="E22" s="216">
        <v>22.369999999999997</v>
      </c>
      <c r="F22" s="216">
        <v>28</v>
      </c>
      <c r="G22" s="216">
        <v>21</v>
      </c>
      <c r="H22" s="216" t="s">
        <v>184</v>
      </c>
      <c r="I22" s="216" t="s">
        <v>184</v>
      </c>
      <c r="J22">
        <f t="shared" si="0"/>
        <v>71</v>
      </c>
    </row>
    <row r="23" spans="1:17" x14ac:dyDescent="0.25">
      <c r="A23" s="216">
        <v>84</v>
      </c>
      <c r="B23" s="216" t="s">
        <v>199</v>
      </c>
      <c r="C23" s="216">
        <v>2.2000000000000002</v>
      </c>
      <c r="D23" s="216">
        <v>69.42</v>
      </c>
      <c r="E23" s="216">
        <v>28.39</v>
      </c>
      <c r="F23" s="216">
        <v>37</v>
      </c>
      <c r="G23" s="216">
        <v>24</v>
      </c>
      <c r="H23" s="216" t="s">
        <v>184</v>
      </c>
      <c r="I23" s="216" t="s">
        <v>184</v>
      </c>
      <c r="J23">
        <f t="shared" si="0"/>
        <v>72</v>
      </c>
    </row>
    <row r="24" spans="1:17" x14ac:dyDescent="0.25">
      <c r="A24" s="216">
        <v>87</v>
      </c>
      <c r="B24" s="216" t="s">
        <v>186</v>
      </c>
      <c r="C24" s="216">
        <v>5.8</v>
      </c>
      <c r="D24" s="216">
        <v>73.03</v>
      </c>
      <c r="E24" s="216">
        <v>21.17</v>
      </c>
      <c r="F24" s="216">
        <v>37</v>
      </c>
      <c r="G24" s="216">
        <v>21</v>
      </c>
      <c r="H24" s="216" t="s">
        <v>184</v>
      </c>
      <c r="I24" s="216" t="s">
        <v>184</v>
      </c>
      <c r="J24">
        <f t="shared" si="0"/>
        <v>73</v>
      </c>
    </row>
    <row r="25" spans="1:17" x14ac:dyDescent="0.25">
      <c r="A25" s="216">
        <v>90</v>
      </c>
      <c r="B25" s="216" t="s">
        <v>200</v>
      </c>
      <c r="C25" s="216">
        <v>39.200000000000003</v>
      </c>
      <c r="D25" s="216">
        <v>44.09</v>
      </c>
      <c r="E25" s="216">
        <v>16.71</v>
      </c>
      <c r="F25" s="216">
        <v>28</v>
      </c>
      <c r="G25" s="216">
        <v>19</v>
      </c>
      <c r="H25" s="216">
        <v>1.36</v>
      </c>
      <c r="I25" s="216">
        <v>36</v>
      </c>
      <c r="J25">
        <f t="shared" si="0"/>
        <v>74</v>
      </c>
    </row>
    <row r="26" spans="1:17" x14ac:dyDescent="0.25">
      <c r="A26" s="216">
        <v>91</v>
      </c>
      <c r="B26" s="216" t="s">
        <v>201</v>
      </c>
      <c r="C26" s="216">
        <v>19.099999999999998</v>
      </c>
      <c r="D26" s="216">
        <v>54.05</v>
      </c>
      <c r="E26" s="216">
        <v>26.85</v>
      </c>
      <c r="F26" s="216">
        <v>40</v>
      </c>
      <c r="G26" s="216">
        <v>22</v>
      </c>
      <c r="H26" s="216" t="s">
        <v>184</v>
      </c>
      <c r="I26" s="216" t="s">
        <v>184</v>
      </c>
      <c r="J26">
        <f t="shared" si="0"/>
        <v>75</v>
      </c>
    </row>
    <row r="27" spans="1:17" x14ac:dyDescent="0.25">
      <c r="A27" s="216">
        <v>92</v>
      </c>
      <c r="B27" s="216" t="s">
        <v>202</v>
      </c>
      <c r="C27" s="216">
        <v>3.8</v>
      </c>
      <c r="D27" s="216">
        <v>64.819999999999993</v>
      </c>
      <c r="E27" s="216">
        <v>31.380000000000003</v>
      </c>
      <c r="F27" s="216">
        <v>37</v>
      </c>
      <c r="G27" s="216">
        <v>21</v>
      </c>
      <c r="H27" s="216" t="s">
        <v>184</v>
      </c>
      <c r="I27" s="216" t="s">
        <v>184</v>
      </c>
      <c r="J27">
        <f t="shared" si="0"/>
        <v>76</v>
      </c>
    </row>
    <row r="28" spans="1:17" x14ac:dyDescent="0.25">
      <c r="A28" s="216">
        <v>94</v>
      </c>
      <c r="B28" s="216" t="s">
        <v>187</v>
      </c>
      <c r="C28" s="216">
        <v>3</v>
      </c>
      <c r="D28" s="216">
        <v>57.5</v>
      </c>
      <c r="E28" s="216">
        <v>39.489999999999995</v>
      </c>
      <c r="F28" s="216">
        <v>44</v>
      </c>
      <c r="G28" s="216">
        <v>23</v>
      </c>
      <c r="H28" s="216" t="s">
        <v>184</v>
      </c>
      <c r="I28" s="216" t="s">
        <v>184</v>
      </c>
      <c r="J28">
        <f t="shared" si="0"/>
        <v>77</v>
      </c>
    </row>
    <row r="29" spans="1:17" x14ac:dyDescent="0.25">
      <c r="A29" s="216">
        <v>95</v>
      </c>
      <c r="B29" s="216" t="s">
        <v>203</v>
      </c>
      <c r="C29" s="216">
        <v>2.5</v>
      </c>
      <c r="D29" s="216">
        <v>69.25</v>
      </c>
      <c r="E29" s="216">
        <v>28.25</v>
      </c>
      <c r="F29" s="216">
        <v>39</v>
      </c>
      <c r="G29" s="216">
        <v>22</v>
      </c>
      <c r="H29" s="216" t="s">
        <v>184</v>
      </c>
      <c r="I29" s="216" t="s">
        <v>184</v>
      </c>
      <c r="J29">
        <f t="shared" si="0"/>
        <v>78</v>
      </c>
    </row>
    <row r="30" spans="1:17" x14ac:dyDescent="0.25">
      <c r="A30" s="216">
        <v>96</v>
      </c>
      <c r="B30" s="216" t="s">
        <v>204</v>
      </c>
      <c r="C30" s="216">
        <v>10.6</v>
      </c>
      <c r="D30" s="216">
        <v>74.25</v>
      </c>
      <c r="E30" s="216">
        <v>15.16</v>
      </c>
      <c r="F30" s="216">
        <v>40</v>
      </c>
      <c r="G30" s="216">
        <v>28</v>
      </c>
      <c r="H30" s="216">
        <v>2.41</v>
      </c>
      <c r="I30" s="216">
        <v>17.5</v>
      </c>
      <c r="J30">
        <f t="shared" si="0"/>
        <v>79</v>
      </c>
    </row>
    <row r="31" spans="1:17" x14ac:dyDescent="0.25">
      <c r="A31" s="216">
        <v>96</v>
      </c>
      <c r="B31" s="216" t="s">
        <v>205</v>
      </c>
      <c r="C31" s="216">
        <v>8.5</v>
      </c>
      <c r="D31" s="216">
        <v>78.47</v>
      </c>
      <c r="E31" s="216">
        <v>13.03</v>
      </c>
      <c r="F31" s="216">
        <v>38</v>
      </c>
      <c r="G31" s="216">
        <v>26</v>
      </c>
      <c r="H31" s="216">
        <v>2.29</v>
      </c>
      <c r="I31" s="216">
        <v>14</v>
      </c>
      <c r="J31">
        <f t="shared" si="0"/>
        <v>80</v>
      </c>
    </row>
    <row r="32" spans="1:17" x14ac:dyDescent="0.25">
      <c r="A32" s="216">
        <v>96</v>
      </c>
      <c r="B32" s="216" t="s">
        <v>206</v>
      </c>
      <c r="C32" s="216">
        <v>2</v>
      </c>
      <c r="D32" s="216">
        <v>80.19</v>
      </c>
      <c r="E32" s="216">
        <v>17.810000000000002</v>
      </c>
      <c r="F32" s="216">
        <v>38</v>
      </c>
      <c r="G32" s="216">
        <v>27</v>
      </c>
      <c r="H32" s="216">
        <v>2.42</v>
      </c>
      <c r="I32" s="216">
        <v>12.5</v>
      </c>
      <c r="J32">
        <f t="shared" si="0"/>
        <v>81</v>
      </c>
    </row>
    <row r="33" spans="1:10" x14ac:dyDescent="0.25">
      <c r="A33" s="216">
        <v>98</v>
      </c>
      <c r="B33" s="216" t="s">
        <v>191</v>
      </c>
      <c r="C33" s="216">
        <v>3.2</v>
      </c>
      <c r="D33" s="216">
        <v>64.3</v>
      </c>
      <c r="E33" s="216">
        <v>32.5</v>
      </c>
      <c r="F33" s="216">
        <v>50</v>
      </c>
      <c r="G33" s="216">
        <v>20</v>
      </c>
      <c r="H33" s="216" t="s">
        <v>184</v>
      </c>
      <c r="I33" s="216" t="s">
        <v>184</v>
      </c>
      <c r="J33">
        <f t="shared" si="0"/>
        <v>82</v>
      </c>
    </row>
    <row r="34" spans="1:10" x14ac:dyDescent="0.25">
      <c r="A34" s="216">
        <v>99</v>
      </c>
      <c r="B34" s="216" t="s">
        <v>207</v>
      </c>
      <c r="C34" s="216">
        <v>44.5</v>
      </c>
      <c r="D34" s="216">
        <v>41.14</v>
      </c>
      <c r="E34" s="216">
        <v>14.36</v>
      </c>
      <c r="F34" s="216">
        <v>27</v>
      </c>
      <c r="G34" s="216">
        <v>18</v>
      </c>
      <c r="H34" s="216">
        <v>1.43</v>
      </c>
      <c r="I34" s="216">
        <v>37.67</v>
      </c>
      <c r="J34">
        <f t="shared" si="0"/>
        <v>83</v>
      </c>
    </row>
    <row r="35" spans="1:10" x14ac:dyDescent="0.25">
      <c r="A35" s="216">
        <v>104</v>
      </c>
      <c r="B35" s="216" t="s">
        <v>208</v>
      </c>
      <c r="C35" s="216">
        <v>9.5</v>
      </c>
      <c r="D35" s="216">
        <v>75.22</v>
      </c>
      <c r="E35" s="216">
        <v>15.27</v>
      </c>
      <c r="F35" s="216">
        <v>38</v>
      </c>
      <c r="G35" s="216">
        <v>26</v>
      </c>
      <c r="H35" s="216">
        <v>2.96</v>
      </c>
      <c r="I35" s="216">
        <v>19</v>
      </c>
      <c r="J35">
        <f t="shared" si="0"/>
        <v>84</v>
      </c>
    </row>
    <row r="36" spans="1:10" x14ac:dyDescent="0.25">
      <c r="A36" s="216">
        <v>106</v>
      </c>
      <c r="B36" s="216" t="s">
        <v>187</v>
      </c>
      <c r="C36" s="216">
        <v>4.3</v>
      </c>
      <c r="D36" s="216">
        <v>67.87</v>
      </c>
      <c r="E36" s="216">
        <v>27.84</v>
      </c>
      <c r="F36" s="216">
        <v>39</v>
      </c>
      <c r="G36" s="216">
        <v>23</v>
      </c>
      <c r="H36" s="216" t="s">
        <v>184</v>
      </c>
      <c r="I36" s="216" t="s">
        <v>184</v>
      </c>
      <c r="J36">
        <f t="shared" si="0"/>
        <v>85</v>
      </c>
    </row>
    <row r="37" spans="1:10" x14ac:dyDescent="0.25">
      <c r="A37" s="216">
        <v>111</v>
      </c>
      <c r="B37" s="216" t="s">
        <v>198</v>
      </c>
      <c r="C37" s="216">
        <v>1.4</v>
      </c>
      <c r="D37" s="216">
        <v>57.7</v>
      </c>
      <c r="E37" s="216">
        <v>40.900000000000006</v>
      </c>
      <c r="F37" s="216">
        <v>56</v>
      </c>
      <c r="G37" s="216">
        <v>24</v>
      </c>
      <c r="H37" s="216" t="s">
        <v>184</v>
      </c>
      <c r="I37" s="216" t="s">
        <v>184</v>
      </c>
      <c r="J37">
        <f t="shared" si="0"/>
        <v>86</v>
      </c>
    </row>
    <row r="38" spans="1:10" x14ac:dyDescent="0.25">
      <c r="A38" s="216">
        <v>114</v>
      </c>
      <c r="B38" s="216" t="s">
        <v>209</v>
      </c>
      <c r="C38" s="216">
        <v>5.5</v>
      </c>
      <c r="D38" s="216">
        <v>65.06</v>
      </c>
      <c r="E38" s="216">
        <v>29.439999999999998</v>
      </c>
      <c r="F38" s="216">
        <v>39</v>
      </c>
      <c r="G38" s="216">
        <v>21</v>
      </c>
      <c r="H38" s="216" t="s">
        <v>184</v>
      </c>
      <c r="I38" s="216" t="s">
        <v>184</v>
      </c>
      <c r="J38">
        <f t="shared" si="0"/>
        <v>87</v>
      </c>
    </row>
    <row r="39" spans="1:10" x14ac:dyDescent="0.25">
      <c r="A39" s="216">
        <v>118</v>
      </c>
      <c r="B39" s="216" t="s">
        <v>198</v>
      </c>
      <c r="C39" s="216">
        <v>3.7</v>
      </c>
      <c r="D39" s="216">
        <v>69.44</v>
      </c>
      <c r="E39" s="216">
        <v>26.869999999999997</v>
      </c>
      <c r="F39" s="216">
        <v>41</v>
      </c>
      <c r="G39" s="216">
        <v>22</v>
      </c>
      <c r="H39" s="216" t="s">
        <v>184</v>
      </c>
      <c r="I39" s="216" t="s">
        <v>184</v>
      </c>
      <c r="J39">
        <f t="shared" si="0"/>
        <v>88</v>
      </c>
    </row>
    <row r="40" spans="1:10" x14ac:dyDescent="0.25">
      <c r="A40" s="216">
        <v>119</v>
      </c>
      <c r="B40" s="216" t="s">
        <v>210</v>
      </c>
      <c r="C40" s="216">
        <v>2.2999999999999998</v>
      </c>
      <c r="D40" s="216">
        <v>75.48</v>
      </c>
      <c r="E40" s="216">
        <v>22.22</v>
      </c>
      <c r="F40" s="216">
        <v>36</v>
      </c>
      <c r="G40" s="216">
        <v>28</v>
      </c>
      <c r="H40" s="216" t="s">
        <v>184</v>
      </c>
      <c r="I40" s="216" t="s">
        <v>184</v>
      </c>
      <c r="J40">
        <f t="shared" si="0"/>
        <v>89</v>
      </c>
    </row>
    <row r="41" spans="1:10" x14ac:dyDescent="0.25">
      <c r="A41" s="216">
        <v>119</v>
      </c>
      <c r="B41" s="216" t="s">
        <v>187</v>
      </c>
      <c r="C41" s="216">
        <v>5.4</v>
      </c>
      <c r="D41" s="216">
        <v>62.98</v>
      </c>
      <c r="E41" s="216">
        <v>31.62</v>
      </c>
      <c r="F41" s="216">
        <v>34</v>
      </c>
      <c r="G41" s="216">
        <v>21</v>
      </c>
      <c r="H41" s="216" t="s">
        <v>184</v>
      </c>
      <c r="I41" s="216" t="s">
        <v>184</v>
      </c>
      <c r="J41">
        <f t="shared" si="0"/>
        <v>90</v>
      </c>
    </row>
    <row r="42" spans="1:10" x14ac:dyDescent="0.25">
      <c r="A42" s="216">
        <v>120</v>
      </c>
      <c r="B42" s="216" t="s">
        <v>212</v>
      </c>
      <c r="C42" s="216">
        <v>40.200000000000003</v>
      </c>
      <c r="D42" s="216">
        <v>43.43</v>
      </c>
      <c r="E42" s="216">
        <v>16.36</v>
      </c>
      <c r="F42" s="216">
        <v>28</v>
      </c>
      <c r="G42" s="216">
        <v>20</v>
      </c>
      <c r="H42" s="216">
        <v>1.58</v>
      </c>
      <c r="I42" s="216">
        <v>40.5</v>
      </c>
      <c r="J42">
        <v>91</v>
      </c>
    </row>
    <row r="43" spans="1:10" x14ac:dyDescent="0.25">
      <c r="A43" s="216">
        <v>123</v>
      </c>
      <c r="B43" s="216" t="s">
        <v>187</v>
      </c>
      <c r="C43" s="216">
        <v>3.2</v>
      </c>
      <c r="D43" s="216">
        <v>66.27</v>
      </c>
      <c r="E43" s="216">
        <v>30.54</v>
      </c>
      <c r="F43" s="216">
        <v>36</v>
      </c>
      <c r="G43" s="216">
        <v>22</v>
      </c>
      <c r="H43" s="216" t="s">
        <v>184</v>
      </c>
      <c r="I43" s="216" t="s">
        <v>184</v>
      </c>
      <c r="J43">
        <v>92</v>
      </c>
    </row>
    <row r="44" spans="1:10" x14ac:dyDescent="0.25">
      <c r="A44" s="216">
        <v>127</v>
      </c>
      <c r="B44" s="216" t="s">
        <v>198</v>
      </c>
      <c r="C44" s="216">
        <v>1.5</v>
      </c>
      <c r="D44" s="216">
        <v>59.73</v>
      </c>
      <c r="E44" s="216">
        <v>38.770000000000003</v>
      </c>
      <c r="F44" s="216">
        <v>43</v>
      </c>
      <c r="G44" s="216">
        <v>20</v>
      </c>
      <c r="H44" s="216" t="s">
        <v>184</v>
      </c>
      <c r="I44" s="216" t="s">
        <v>184</v>
      </c>
      <c r="J44">
        <v>93</v>
      </c>
    </row>
    <row r="45" spans="1:10" x14ac:dyDescent="0.25">
      <c r="A45" s="216">
        <v>130</v>
      </c>
      <c r="B45" s="216" t="s">
        <v>213</v>
      </c>
      <c r="C45" s="216">
        <v>36.6</v>
      </c>
      <c r="D45" s="216">
        <v>47.63</v>
      </c>
      <c r="E45" s="216">
        <v>15.77</v>
      </c>
      <c r="F45" s="216">
        <v>38</v>
      </c>
      <c r="G45" s="216">
        <v>21</v>
      </c>
      <c r="H45" s="216">
        <v>2.9</v>
      </c>
      <c r="I45" s="216">
        <v>34.5</v>
      </c>
      <c r="J45">
        <v>94</v>
      </c>
    </row>
    <row r="46" spans="1:10" x14ac:dyDescent="0.25">
      <c r="A46" s="216">
        <v>136</v>
      </c>
      <c r="B46" s="216" t="s">
        <v>214</v>
      </c>
      <c r="C46" s="216">
        <v>1.7</v>
      </c>
      <c r="D46" s="216">
        <v>87.27</v>
      </c>
      <c r="E46" s="216">
        <v>11.03</v>
      </c>
      <c r="F46" s="216">
        <v>38</v>
      </c>
      <c r="G46" s="216">
        <v>27</v>
      </c>
      <c r="H46" s="216">
        <v>1.81</v>
      </c>
      <c r="I46" s="216">
        <v>7.75</v>
      </c>
      <c r="J46">
        <v>95</v>
      </c>
    </row>
    <row r="47" spans="1:10" x14ac:dyDescent="0.25">
      <c r="A47" s="216">
        <v>137</v>
      </c>
      <c r="B47" s="216" t="s">
        <v>198</v>
      </c>
      <c r="C47" s="216">
        <v>9</v>
      </c>
      <c r="D47" s="216">
        <v>66.040000000000006</v>
      </c>
      <c r="E47" s="216">
        <v>24.96</v>
      </c>
      <c r="F47" s="216">
        <v>43</v>
      </c>
      <c r="G47" s="216">
        <v>23</v>
      </c>
      <c r="H47" s="216" t="s">
        <v>184</v>
      </c>
      <c r="I47" s="216" t="s">
        <v>184</v>
      </c>
      <c r="J47">
        <v>96</v>
      </c>
    </row>
    <row r="48" spans="1:10" x14ac:dyDescent="0.25">
      <c r="A48" s="216">
        <v>140</v>
      </c>
      <c r="B48" s="216" t="s">
        <v>146</v>
      </c>
      <c r="C48" s="216">
        <v>1.9</v>
      </c>
      <c r="D48" s="216">
        <v>85.36</v>
      </c>
      <c r="E48" s="216">
        <v>12.75</v>
      </c>
      <c r="F48" s="216">
        <v>54</v>
      </c>
      <c r="G48" s="216">
        <v>37</v>
      </c>
      <c r="H48" s="216">
        <v>2.08</v>
      </c>
      <c r="I48" s="216">
        <v>6.75</v>
      </c>
      <c r="J48">
        <v>97</v>
      </c>
    </row>
    <row r="49" spans="1:10" x14ac:dyDescent="0.25">
      <c r="A49" s="216">
        <v>140</v>
      </c>
      <c r="B49" s="216" t="s">
        <v>215</v>
      </c>
      <c r="C49" s="216">
        <v>45.9</v>
      </c>
      <c r="D49" s="216">
        <v>38.72</v>
      </c>
      <c r="E49" s="216">
        <v>15.38</v>
      </c>
      <c r="F49" s="216">
        <v>25</v>
      </c>
      <c r="G49" s="216">
        <v>18</v>
      </c>
      <c r="H49" s="216">
        <v>0.52</v>
      </c>
      <c r="I49" s="216">
        <v>54.67</v>
      </c>
      <c r="J49">
        <v>98</v>
      </c>
    </row>
    <row r="50" spans="1:10" x14ac:dyDescent="0.25">
      <c r="A50" s="216">
        <v>1</v>
      </c>
      <c r="B50" s="216" t="s">
        <v>191</v>
      </c>
      <c r="C50" s="216">
        <v>11.5</v>
      </c>
      <c r="D50" s="216">
        <v>58.08</v>
      </c>
      <c r="E50" s="216">
        <v>30.42</v>
      </c>
      <c r="F50" s="216">
        <v>41</v>
      </c>
      <c r="G50" s="216">
        <v>21</v>
      </c>
      <c r="H50" s="216"/>
      <c r="I50" s="216"/>
    </row>
    <row r="51" spans="1:10" x14ac:dyDescent="0.25">
      <c r="A51" s="216">
        <v>4</v>
      </c>
      <c r="B51" s="216" t="s">
        <v>146</v>
      </c>
      <c r="C51" s="216">
        <v>1.3</v>
      </c>
      <c r="D51" s="216">
        <v>53.31</v>
      </c>
      <c r="E51" s="216">
        <v>45.39</v>
      </c>
      <c r="F51" s="216">
        <v>42</v>
      </c>
      <c r="G51" s="216">
        <v>23</v>
      </c>
      <c r="H51" s="216"/>
      <c r="I51" s="216"/>
    </row>
    <row r="52" spans="1:10" x14ac:dyDescent="0.25">
      <c r="A52" s="216">
        <v>4</v>
      </c>
      <c r="B52" s="216" t="s">
        <v>209</v>
      </c>
      <c r="C52" s="216">
        <v>2.7</v>
      </c>
      <c r="D52" s="216">
        <v>70.66</v>
      </c>
      <c r="E52" s="216">
        <v>26.64</v>
      </c>
      <c r="F52" s="216">
        <v>37</v>
      </c>
      <c r="G52" s="216">
        <v>23</v>
      </c>
      <c r="H52" s="216"/>
      <c r="I52" s="216"/>
    </row>
    <row r="53" spans="1:10" x14ac:dyDescent="0.25">
      <c r="A53" s="216">
        <v>5</v>
      </c>
      <c r="B53" s="216" t="s">
        <v>198</v>
      </c>
      <c r="C53" s="216">
        <v>3.7</v>
      </c>
      <c r="D53" s="216">
        <v>58.37</v>
      </c>
      <c r="E53" s="216">
        <v>37.93</v>
      </c>
      <c r="F53" s="216">
        <v>40</v>
      </c>
      <c r="G53" s="216">
        <v>22</v>
      </c>
      <c r="H53" s="216" t="s">
        <v>184</v>
      </c>
      <c r="I53" s="216" t="s">
        <v>184</v>
      </c>
      <c r="J53">
        <v>1</v>
      </c>
    </row>
    <row r="54" spans="1:10" x14ac:dyDescent="0.25">
      <c r="A54" s="216">
        <v>6</v>
      </c>
      <c r="B54" s="216" t="s">
        <v>198</v>
      </c>
      <c r="C54" s="216">
        <v>8.3000000000000007</v>
      </c>
      <c r="D54" s="216">
        <v>54.14</v>
      </c>
      <c r="E54" s="216">
        <v>37.56</v>
      </c>
      <c r="F54" s="216">
        <v>34</v>
      </c>
      <c r="G54" s="216">
        <v>19</v>
      </c>
      <c r="H54" s="216" t="s">
        <v>184</v>
      </c>
      <c r="I54" s="216" t="s">
        <v>184</v>
      </c>
      <c r="J54">
        <v>2</v>
      </c>
    </row>
    <row r="55" spans="1:10" x14ac:dyDescent="0.25">
      <c r="A55" s="216">
        <v>7</v>
      </c>
      <c r="B55" s="216" t="s">
        <v>146</v>
      </c>
      <c r="C55" s="216">
        <v>0.3</v>
      </c>
      <c r="D55" s="216">
        <v>22.69</v>
      </c>
      <c r="E55" s="216">
        <v>77.009999999999991</v>
      </c>
      <c r="F55" s="216">
        <v>40</v>
      </c>
      <c r="G55" s="216">
        <v>25</v>
      </c>
      <c r="H55" s="216" t="s">
        <v>184</v>
      </c>
      <c r="I55" s="216" t="s">
        <v>184</v>
      </c>
      <c r="J55">
        <f t="shared" si="0"/>
        <v>3</v>
      </c>
    </row>
    <row r="56" spans="1:10" x14ac:dyDescent="0.25">
      <c r="A56" s="216">
        <v>7</v>
      </c>
      <c r="B56" s="216" t="s">
        <v>216</v>
      </c>
      <c r="C56" s="216">
        <v>4.5999999999999996</v>
      </c>
      <c r="D56" s="216">
        <v>70.319999999999993</v>
      </c>
      <c r="E56" s="216">
        <v>25.08</v>
      </c>
      <c r="F56" s="216">
        <v>38</v>
      </c>
      <c r="G56" s="216">
        <v>26</v>
      </c>
      <c r="H56" s="216" t="s">
        <v>184</v>
      </c>
      <c r="I56" s="216" t="s">
        <v>184</v>
      </c>
      <c r="J56">
        <f t="shared" si="0"/>
        <v>4</v>
      </c>
    </row>
    <row r="57" spans="1:10" x14ac:dyDescent="0.25">
      <c r="A57" s="216">
        <v>8</v>
      </c>
      <c r="B57" s="216" t="s">
        <v>146</v>
      </c>
      <c r="C57" s="216">
        <v>1.2</v>
      </c>
      <c r="D57" s="216">
        <v>41.67</v>
      </c>
      <c r="E57" s="216">
        <v>57.13</v>
      </c>
      <c r="F57" s="216">
        <v>55</v>
      </c>
      <c r="G57" s="216">
        <v>27</v>
      </c>
      <c r="H57" s="216" t="s">
        <v>184</v>
      </c>
      <c r="I57" s="216" t="s">
        <v>184</v>
      </c>
      <c r="J57">
        <f t="shared" si="0"/>
        <v>5</v>
      </c>
    </row>
    <row r="58" spans="1:10" x14ac:dyDescent="0.25">
      <c r="A58" s="216">
        <v>13</v>
      </c>
      <c r="B58" s="216" t="s">
        <v>192</v>
      </c>
      <c r="C58" s="216">
        <v>0.7</v>
      </c>
      <c r="D58" s="216">
        <v>58.66</v>
      </c>
      <c r="E58" s="216">
        <v>40.64</v>
      </c>
      <c r="F58" s="216">
        <v>67</v>
      </c>
      <c r="G58" s="216">
        <v>36</v>
      </c>
      <c r="H58" s="216" t="s">
        <v>184</v>
      </c>
      <c r="I58" s="216" t="s">
        <v>184</v>
      </c>
      <c r="J58">
        <f t="shared" si="0"/>
        <v>6</v>
      </c>
    </row>
    <row r="59" spans="1:10" x14ac:dyDescent="0.25">
      <c r="A59" s="216">
        <v>15</v>
      </c>
      <c r="B59" s="216" t="s">
        <v>217</v>
      </c>
      <c r="C59" s="216">
        <v>8.1</v>
      </c>
      <c r="D59" s="216">
        <v>53.53</v>
      </c>
      <c r="E59" s="216">
        <v>38.369999999999997</v>
      </c>
      <c r="F59" s="216">
        <v>44</v>
      </c>
      <c r="G59" s="216">
        <v>19</v>
      </c>
      <c r="H59" s="216" t="s">
        <v>184</v>
      </c>
      <c r="I59" s="216" t="s">
        <v>184</v>
      </c>
      <c r="J59">
        <f t="shared" si="0"/>
        <v>7</v>
      </c>
    </row>
    <row r="60" spans="1:10" x14ac:dyDescent="0.25">
      <c r="A60" s="216">
        <v>15</v>
      </c>
      <c r="B60" s="216" t="s">
        <v>204</v>
      </c>
      <c r="C60" s="216">
        <v>0.7</v>
      </c>
      <c r="D60" s="216">
        <v>68</v>
      </c>
      <c r="E60" s="216">
        <v>31.29</v>
      </c>
      <c r="F60" s="216">
        <v>65</v>
      </c>
      <c r="G60" s="216">
        <v>32</v>
      </c>
      <c r="H60" s="216" t="s">
        <v>184</v>
      </c>
      <c r="I60" s="216" t="s">
        <v>184</v>
      </c>
      <c r="J60">
        <f t="shared" si="0"/>
        <v>8</v>
      </c>
    </row>
    <row r="61" spans="1:10" x14ac:dyDescent="0.25">
      <c r="A61" s="216">
        <v>19</v>
      </c>
      <c r="B61" s="216" t="s">
        <v>187</v>
      </c>
      <c r="C61" s="216">
        <v>2.1</v>
      </c>
      <c r="D61" s="216">
        <v>64.81</v>
      </c>
      <c r="E61" s="216">
        <v>33.090000000000003</v>
      </c>
      <c r="F61" s="216">
        <v>39</v>
      </c>
      <c r="G61" s="216">
        <v>22</v>
      </c>
      <c r="H61" s="216" t="s">
        <v>184</v>
      </c>
      <c r="I61" s="216" t="s">
        <v>184</v>
      </c>
      <c r="J61">
        <f t="shared" si="0"/>
        <v>9</v>
      </c>
    </row>
    <row r="62" spans="1:10" x14ac:dyDescent="0.25">
      <c r="A62" s="216">
        <v>20</v>
      </c>
      <c r="B62" s="216" t="s">
        <v>196</v>
      </c>
      <c r="C62" s="216">
        <v>7.8</v>
      </c>
      <c r="D62" s="216">
        <v>69.28</v>
      </c>
      <c r="E62" s="216">
        <v>22.92</v>
      </c>
      <c r="F62" s="216">
        <v>36</v>
      </c>
      <c r="G62" s="216">
        <v>21</v>
      </c>
      <c r="H62" s="216" t="s">
        <v>184</v>
      </c>
      <c r="I62" s="216" t="s">
        <v>184</v>
      </c>
      <c r="J62">
        <f t="shared" si="0"/>
        <v>10</v>
      </c>
    </row>
    <row r="63" spans="1:10" x14ac:dyDescent="0.25">
      <c r="A63" s="216">
        <v>21</v>
      </c>
      <c r="B63" s="216" t="s">
        <v>186</v>
      </c>
      <c r="C63" s="216">
        <v>17.8</v>
      </c>
      <c r="D63" s="216">
        <v>65.88</v>
      </c>
      <c r="E63" s="216">
        <v>16.32</v>
      </c>
      <c r="F63" s="216">
        <v>37</v>
      </c>
      <c r="G63" s="216">
        <v>23</v>
      </c>
      <c r="H63" s="216">
        <v>1.92</v>
      </c>
      <c r="I63" s="216">
        <v>22</v>
      </c>
      <c r="J63">
        <f t="shared" si="0"/>
        <v>11</v>
      </c>
    </row>
    <row r="64" spans="1:10" x14ac:dyDescent="0.25">
      <c r="A64" s="216">
        <v>22</v>
      </c>
      <c r="B64" s="216" t="s">
        <v>217</v>
      </c>
      <c r="C64" s="216">
        <v>2.4</v>
      </c>
      <c r="D64" s="216">
        <v>67.23</v>
      </c>
      <c r="E64" s="216">
        <v>30.37</v>
      </c>
      <c r="F64" s="216">
        <v>38</v>
      </c>
      <c r="G64" s="216">
        <v>23</v>
      </c>
      <c r="H64" s="216" t="s">
        <v>184</v>
      </c>
      <c r="I64" s="216" t="s">
        <v>184</v>
      </c>
      <c r="J64">
        <f t="shared" si="0"/>
        <v>12</v>
      </c>
    </row>
    <row r="65" spans="1:15" x14ac:dyDescent="0.25">
      <c r="A65" s="216">
        <v>29</v>
      </c>
      <c r="B65" s="216" t="s">
        <v>187</v>
      </c>
      <c r="C65" s="216">
        <v>4.5</v>
      </c>
      <c r="D65" s="216">
        <v>56.58</v>
      </c>
      <c r="E65" s="216">
        <v>38.92</v>
      </c>
      <c r="F65" s="216">
        <v>54</v>
      </c>
      <c r="G65" s="216">
        <v>32</v>
      </c>
      <c r="H65" s="216" t="s">
        <v>184</v>
      </c>
      <c r="I65" s="216" t="s">
        <v>184</v>
      </c>
      <c r="J65">
        <f t="shared" si="0"/>
        <v>13</v>
      </c>
    </row>
    <row r="66" spans="1:15" x14ac:dyDescent="0.25">
      <c r="A66" s="216">
        <v>34</v>
      </c>
      <c r="B66" s="216" t="s">
        <v>146</v>
      </c>
      <c r="C66" s="216">
        <v>3.1999999999999997</v>
      </c>
      <c r="D66" s="216">
        <v>61.77</v>
      </c>
      <c r="E66" s="216">
        <v>35.03</v>
      </c>
      <c r="F66" s="216">
        <v>37</v>
      </c>
      <c r="G66" s="216">
        <v>24</v>
      </c>
      <c r="H66" s="216" t="s">
        <v>184</v>
      </c>
      <c r="I66" s="216" t="s">
        <v>184</v>
      </c>
      <c r="J66">
        <f t="shared" si="0"/>
        <v>14</v>
      </c>
    </row>
    <row r="67" spans="1:15" x14ac:dyDescent="0.25">
      <c r="A67" s="216">
        <v>35</v>
      </c>
      <c r="B67" s="216" t="s">
        <v>189</v>
      </c>
      <c r="C67" s="216">
        <v>3.9</v>
      </c>
      <c r="D67" s="216">
        <v>64.2</v>
      </c>
      <c r="E67" s="216">
        <v>31.9</v>
      </c>
      <c r="F67" s="216">
        <v>37</v>
      </c>
      <c r="G67" s="216">
        <v>20</v>
      </c>
      <c r="H67" s="216" t="s">
        <v>184</v>
      </c>
      <c r="I67" s="216" t="s">
        <v>184</v>
      </c>
      <c r="J67">
        <f t="shared" si="0"/>
        <v>15</v>
      </c>
    </row>
    <row r="68" spans="1:15" x14ac:dyDescent="0.25">
      <c r="A68" s="216">
        <v>32</v>
      </c>
      <c r="B68" s="216" t="s">
        <v>146</v>
      </c>
      <c r="C68" s="216">
        <v>1.8</v>
      </c>
      <c r="D68" s="216">
        <v>62.5</v>
      </c>
      <c r="E68" s="216">
        <v>35.700000000000003</v>
      </c>
      <c r="F68" s="216">
        <v>42</v>
      </c>
      <c r="G68" s="216">
        <v>26</v>
      </c>
      <c r="H68" s="216" t="s">
        <v>184</v>
      </c>
      <c r="I68" s="216" t="s">
        <v>184</v>
      </c>
      <c r="J68">
        <f t="shared" ref="J68:J131" si="1">J67+1</f>
        <v>16</v>
      </c>
    </row>
    <row r="69" spans="1:15" x14ac:dyDescent="0.25">
      <c r="A69" s="216">
        <v>37</v>
      </c>
      <c r="B69" s="216" t="s">
        <v>191</v>
      </c>
      <c r="C69" s="216">
        <v>0.6</v>
      </c>
      <c r="D69" s="216">
        <v>37.1</v>
      </c>
      <c r="E69" s="216">
        <v>62.31</v>
      </c>
      <c r="F69" s="216">
        <v>48</v>
      </c>
      <c r="G69" s="216">
        <v>24</v>
      </c>
      <c r="H69" s="216" t="s">
        <v>184</v>
      </c>
      <c r="I69" s="216" t="s">
        <v>184</v>
      </c>
      <c r="J69">
        <f t="shared" si="1"/>
        <v>17</v>
      </c>
    </row>
    <row r="70" spans="1:15" x14ac:dyDescent="0.25">
      <c r="A70" s="216">
        <v>41</v>
      </c>
      <c r="B70" s="216" t="s">
        <v>201</v>
      </c>
      <c r="C70" s="216">
        <v>4.7</v>
      </c>
      <c r="D70" s="216">
        <v>68.37</v>
      </c>
      <c r="E70" s="216">
        <v>26.93</v>
      </c>
      <c r="F70" s="216">
        <v>40</v>
      </c>
      <c r="G70" s="216">
        <v>23</v>
      </c>
      <c r="H70" s="216" t="s">
        <v>184</v>
      </c>
      <c r="I70" s="216" t="s">
        <v>184</v>
      </c>
      <c r="J70">
        <f t="shared" si="1"/>
        <v>18</v>
      </c>
    </row>
    <row r="71" spans="1:15" x14ac:dyDescent="0.25">
      <c r="A71" s="216">
        <v>42</v>
      </c>
      <c r="B71" s="216" t="s">
        <v>208</v>
      </c>
      <c r="C71" s="216">
        <v>1.4</v>
      </c>
      <c r="D71" s="216">
        <v>64.52</v>
      </c>
      <c r="E71" s="216">
        <v>34.08</v>
      </c>
      <c r="F71" s="216">
        <v>43</v>
      </c>
      <c r="G71" s="216">
        <v>26</v>
      </c>
      <c r="H71" s="216" t="s">
        <v>184</v>
      </c>
      <c r="I71" s="216" t="s">
        <v>184</v>
      </c>
      <c r="J71">
        <f t="shared" si="1"/>
        <v>19</v>
      </c>
      <c r="K71" s="258" t="s">
        <v>218</v>
      </c>
      <c r="L71" s="258"/>
      <c r="M71" s="258"/>
      <c r="N71" s="258"/>
      <c r="O71" s="258"/>
    </row>
    <row r="72" spans="1:15" x14ac:dyDescent="0.25">
      <c r="A72" s="216"/>
      <c r="B72" s="216"/>
      <c r="C72" s="216"/>
      <c r="D72" s="216"/>
      <c r="E72" s="216"/>
      <c r="F72" s="216"/>
      <c r="G72" s="216"/>
      <c r="H72" s="216"/>
      <c r="I72" s="216"/>
      <c r="J72">
        <f t="shared" si="1"/>
        <v>20</v>
      </c>
    </row>
    <row r="73" spans="1:15" x14ac:dyDescent="0.25">
      <c r="A73" s="216"/>
      <c r="B73" s="216"/>
      <c r="C73" s="216"/>
      <c r="D73" s="216"/>
      <c r="E73" s="216"/>
      <c r="F73" s="216"/>
      <c r="G73" s="216"/>
      <c r="H73" s="216"/>
      <c r="I73" s="216"/>
      <c r="J73">
        <f t="shared" si="1"/>
        <v>21</v>
      </c>
    </row>
    <row r="74" spans="1:15" x14ac:dyDescent="0.25">
      <c r="A74" s="216"/>
      <c r="B74" s="216"/>
      <c r="C74" s="216"/>
      <c r="D74" s="216"/>
      <c r="E74" s="216"/>
      <c r="F74" s="216"/>
      <c r="G74" s="216"/>
      <c r="H74" s="216"/>
      <c r="I74" s="216"/>
      <c r="J74">
        <f t="shared" si="1"/>
        <v>22</v>
      </c>
    </row>
    <row r="75" spans="1:15" x14ac:dyDescent="0.25">
      <c r="A75" s="216"/>
      <c r="B75" s="216"/>
      <c r="C75" s="216"/>
      <c r="D75" s="216"/>
      <c r="E75" s="216"/>
      <c r="F75" s="216"/>
      <c r="G75" s="216"/>
      <c r="H75" s="216"/>
      <c r="I75" s="216"/>
      <c r="J75">
        <f t="shared" si="1"/>
        <v>23</v>
      </c>
    </row>
    <row r="76" spans="1:15" x14ac:dyDescent="0.25">
      <c r="A76" s="216"/>
      <c r="B76" s="216"/>
      <c r="C76" s="216"/>
      <c r="D76" s="216"/>
      <c r="E76" s="216"/>
      <c r="F76" s="216"/>
      <c r="G76" s="216"/>
      <c r="H76" s="216"/>
      <c r="I76" s="216"/>
      <c r="J76">
        <f t="shared" si="1"/>
        <v>24</v>
      </c>
    </row>
    <row r="77" spans="1:15" x14ac:dyDescent="0.25">
      <c r="A77" s="216"/>
      <c r="B77" s="216"/>
      <c r="C77" s="216"/>
      <c r="D77" s="216"/>
      <c r="E77" s="216"/>
      <c r="F77" s="216"/>
      <c r="G77" s="216"/>
      <c r="H77" s="216"/>
      <c r="I77" s="216"/>
      <c r="J77">
        <f t="shared" si="1"/>
        <v>25</v>
      </c>
    </row>
    <row r="78" spans="1:15" x14ac:dyDescent="0.25">
      <c r="A78" s="216"/>
      <c r="B78" s="216"/>
      <c r="C78" s="216"/>
      <c r="D78" s="216"/>
      <c r="E78" s="216"/>
      <c r="F78" s="216"/>
      <c r="G78" s="216"/>
      <c r="H78" s="216"/>
      <c r="I78" s="216"/>
      <c r="J78">
        <f t="shared" si="1"/>
        <v>26</v>
      </c>
    </row>
    <row r="79" spans="1:15" x14ac:dyDescent="0.25">
      <c r="A79" s="216"/>
      <c r="B79" s="216"/>
      <c r="C79" s="216"/>
      <c r="D79" s="216"/>
      <c r="E79" s="216"/>
      <c r="F79" s="216"/>
      <c r="G79" s="216"/>
      <c r="H79" s="216"/>
      <c r="I79" s="216"/>
      <c r="J79">
        <f t="shared" si="1"/>
        <v>27</v>
      </c>
    </row>
    <row r="80" spans="1:15" x14ac:dyDescent="0.25">
      <c r="A80" s="216"/>
      <c r="B80" s="216"/>
      <c r="C80" s="216"/>
      <c r="D80" s="216"/>
      <c r="E80" s="216"/>
      <c r="F80" s="216"/>
      <c r="G80" s="216"/>
      <c r="H80" s="216"/>
      <c r="I80" s="216"/>
      <c r="J80">
        <f t="shared" si="1"/>
        <v>28</v>
      </c>
    </row>
    <row r="81" spans="1:10" x14ac:dyDescent="0.25">
      <c r="A81" s="216"/>
      <c r="B81" s="216"/>
      <c r="C81" s="216"/>
      <c r="D81" s="216"/>
      <c r="E81" s="216"/>
      <c r="F81" s="216"/>
      <c r="G81" s="216"/>
      <c r="H81" s="216"/>
      <c r="I81" s="216"/>
      <c r="J81">
        <f t="shared" si="1"/>
        <v>29</v>
      </c>
    </row>
    <row r="82" spans="1:10" x14ac:dyDescent="0.25">
      <c r="A82" s="216"/>
      <c r="B82" s="216"/>
      <c r="C82" s="216"/>
      <c r="D82" s="216"/>
      <c r="E82" s="216"/>
      <c r="F82" s="216"/>
      <c r="G82" s="216"/>
      <c r="H82" s="216"/>
      <c r="I82" s="216"/>
      <c r="J82">
        <f t="shared" si="1"/>
        <v>30</v>
      </c>
    </row>
    <row r="83" spans="1:10" x14ac:dyDescent="0.25">
      <c r="A83" s="216"/>
      <c r="B83" s="216"/>
      <c r="C83" s="216"/>
      <c r="D83" s="216"/>
      <c r="E83" s="216"/>
      <c r="F83" s="216"/>
      <c r="G83" s="216"/>
      <c r="H83" s="216"/>
      <c r="I83" s="216"/>
      <c r="J83">
        <f t="shared" si="1"/>
        <v>31</v>
      </c>
    </row>
    <row r="84" spans="1:10" x14ac:dyDescent="0.25">
      <c r="A84" s="216"/>
      <c r="B84" s="216"/>
      <c r="C84" s="216"/>
      <c r="D84" s="216"/>
      <c r="E84" s="216"/>
      <c r="F84" s="216"/>
      <c r="G84" s="216"/>
      <c r="H84" s="216"/>
      <c r="I84" s="216"/>
      <c r="J84">
        <f t="shared" si="1"/>
        <v>32</v>
      </c>
    </row>
    <row r="85" spans="1:10" x14ac:dyDescent="0.25">
      <c r="A85" s="216"/>
      <c r="B85" s="216"/>
      <c r="C85" s="216"/>
      <c r="D85" s="216"/>
      <c r="E85" s="216"/>
      <c r="F85" s="216"/>
      <c r="G85" s="216"/>
      <c r="H85" s="216"/>
      <c r="I85" s="216"/>
      <c r="J85">
        <f t="shared" si="1"/>
        <v>33</v>
      </c>
    </row>
    <row r="86" spans="1:10" x14ac:dyDescent="0.25">
      <c r="A86" s="216"/>
      <c r="B86" s="216"/>
      <c r="C86" s="216"/>
      <c r="D86" s="216"/>
      <c r="E86" s="216"/>
      <c r="F86" s="216"/>
      <c r="G86" s="216"/>
      <c r="H86" s="216"/>
      <c r="I86" s="216"/>
      <c r="J86">
        <f t="shared" si="1"/>
        <v>34</v>
      </c>
    </row>
    <row r="87" spans="1:10" x14ac:dyDescent="0.25">
      <c r="A87" s="216"/>
      <c r="B87" s="216"/>
      <c r="C87" s="216"/>
      <c r="D87" s="216"/>
      <c r="E87" s="216"/>
      <c r="F87" s="216"/>
      <c r="G87" s="216"/>
      <c r="H87" s="216"/>
      <c r="I87" s="216"/>
      <c r="J87">
        <f t="shared" si="1"/>
        <v>35</v>
      </c>
    </row>
    <row r="88" spans="1:10" x14ac:dyDescent="0.25">
      <c r="A88" s="216"/>
      <c r="B88" s="216"/>
      <c r="C88" s="216"/>
      <c r="D88" s="216"/>
      <c r="E88" s="216"/>
      <c r="F88" s="216"/>
      <c r="G88" s="216"/>
      <c r="H88" s="216"/>
      <c r="I88" s="216"/>
      <c r="J88">
        <f t="shared" si="1"/>
        <v>36</v>
      </c>
    </row>
    <row r="89" spans="1:10" x14ac:dyDescent="0.25">
      <c r="A89" s="216"/>
      <c r="B89" s="216"/>
      <c r="C89" s="216"/>
      <c r="D89" s="216"/>
      <c r="E89" s="216"/>
      <c r="F89" s="216"/>
      <c r="G89" s="216"/>
      <c r="H89" s="216"/>
      <c r="I89" s="216"/>
      <c r="J89">
        <f t="shared" si="1"/>
        <v>37</v>
      </c>
    </row>
    <row r="90" spans="1:10" x14ac:dyDescent="0.25">
      <c r="A90" s="216"/>
      <c r="B90" s="216"/>
      <c r="C90" s="216"/>
      <c r="D90" s="216"/>
      <c r="E90" s="216"/>
      <c r="F90" s="216"/>
      <c r="G90" s="216"/>
      <c r="H90" s="216"/>
      <c r="I90" s="216"/>
      <c r="J90">
        <f t="shared" si="1"/>
        <v>38</v>
      </c>
    </row>
    <row r="91" spans="1:10" x14ac:dyDescent="0.25">
      <c r="A91" s="216"/>
      <c r="B91" s="216"/>
      <c r="C91" s="216"/>
      <c r="D91" s="216"/>
      <c r="E91" s="216"/>
      <c r="F91" s="216"/>
      <c r="G91" s="216"/>
      <c r="H91" s="216"/>
      <c r="I91" s="216"/>
      <c r="J91">
        <f t="shared" si="1"/>
        <v>39</v>
      </c>
    </row>
    <row r="92" spans="1:10" x14ac:dyDescent="0.25">
      <c r="A92" s="216"/>
      <c r="B92" s="216"/>
      <c r="C92" s="216"/>
      <c r="D92" s="216"/>
      <c r="E92" s="216"/>
      <c r="F92" s="216"/>
      <c r="G92" s="216"/>
      <c r="H92" s="216"/>
      <c r="I92" s="216"/>
      <c r="J92">
        <f t="shared" si="1"/>
        <v>40</v>
      </c>
    </row>
    <row r="93" spans="1:10" x14ac:dyDescent="0.25">
      <c r="A93" s="216"/>
      <c r="B93" s="216"/>
      <c r="C93" s="216"/>
      <c r="D93" s="216"/>
      <c r="E93" s="216"/>
      <c r="F93" s="216"/>
      <c r="G93" s="216"/>
      <c r="H93" s="216"/>
      <c r="I93" s="216"/>
      <c r="J93">
        <f t="shared" si="1"/>
        <v>41</v>
      </c>
    </row>
    <row r="94" spans="1:10" x14ac:dyDescent="0.25">
      <c r="A94" s="216"/>
      <c r="B94" s="216"/>
      <c r="C94" s="216"/>
      <c r="D94" s="216"/>
      <c r="E94" s="216"/>
      <c r="F94" s="216"/>
      <c r="G94" s="216"/>
      <c r="H94" s="216"/>
      <c r="I94" s="216"/>
      <c r="J94">
        <f t="shared" si="1"/>
        <v>42</v>
      </c>
    </row>
    <row r="95" spans="1:10" x14ac:dyDescent="0.25">
      <c r="A95" s="216"/>
      <c r="B95" s="216"/>
      <c r="C95" s="216"/>
      <c r="D95" s="216"/>
      <c r="E95" s="216"/>
      <c r="F95" s="216"/>
      <c r="G95" s="216"/>
      <c r="H95" s="216"/>
      <c r="I95" s="216"/>
      <c r="J95">
        <f t="shared" si="1"/>
        <v>43</v>
      </c>
    </row>
    <row r="96" spans="1:10" x14ac:dyDescent="0.25">
      <c r="A96" s="216"/>
      <c r="B96" s="216"/>
      <c r="C96" s="216"/>
      <c r="D96" s="216"/>
      <c r="E96" s="216"/>
      <c r="F96" s="216"/>
      <c r="G96" s="216"/>
      <c r="H96" s="216"/>
      <c r="I96" s="216"/>
      <c r="J96">
        <f t="shared" si="1"/>
        <v>44</v>
      </c>
    </row>
    <row r="97" spans="1:10" x14ac:dyDescent="0.25">
      <c r="A97" s="216"/>
      <c r="B97" s="216"/>
      <c r="C97" s="216"/>
      <c r="D97" s="216"/>
      <c r="E97" s="216"/>
      <c r="F97" s="216"/>
      <c r="G97" s="216"/>
      <c r="H97" s="216"/>
      <c r="I97" s="216"/>
      <c r="J97">
        <f t="shared" si="1"/>
        <v>45</v>
      </c>
    </row>
    <row r="98" spans="1:10" x14ac:dyDescent="0.25">
      <c r="A98" s="216"/>
      <c r="B98" s="216"/>
      <c r="C98" s="216"/>
      <c r="D98" s="216"/>
      <c r="E98" s="216"/>
      <c r="F98" s="216"/>
      <c r="G98" s="216"/>
      <c r="H98" s="216"/>
      <c r="I98" s="216"/>
      <c r="J98">
        <f t="shared" si="1"/>
        <v>46</v>
      </c>
    </row>
    <row r="99" spans="1:10" x14ac:dyDescent="0.25">
      <c r="A99" s="216"/>
      <c r="B99" s="216"/>
      <c r="C99" s="216"/>
      <c r="D99" s="216"/>
      <c r="E99" s="216"/>
      <c r="F99" s="216"/>
      <c r="G99" s="216"/>
      <c r="H99" s="216"/>
      <c r="I99" s="216"/>
      <c r="J99">
        <f t="shared" si="1"/>
        <v>47</v>
      </c>
    </row>
    <row r="100" spans="1:10" x14ac:dyDescent="0.25">
      <c r="A100" s="216"/>
      <c r="B100" s="216"/>
      <c r="C100" s="216"/>
      <c r="D100" s="216"/>
      <c r="E100" s="216"/>
      <c r="F100" s="216"/>
      <c r="G100" s="216"/>
      <c r="H100" s="216"/>
      <c r="I100" s="216"/>
      <c r="J100">
        <f t="shared" si="1"/>
        <v>48</v>
      </c>
    </row>
    <row r="101" spans="1:10" x14ac:dyDescent="0.25">
      <c r="A101" s="216"/>
      <c r="B101" s="216"/>
      <c r="C101" s="216"/>
      <c r="D101" s="216"/>
      <c r="E101" s="216"/>
      <c r="F101" s="216"/>
      <c r="G101" s="216"/>
      <c r="H101" s="216"/>
      <c r="I101" s="216"/>
      <c r="J101">
        <f t="shared" si="1"/>
        <v>49</v>
      </c>
    </row>
    <row r="102" spans="1:10" x14ac:dyDescent="0.25">
      <c r="A102" s="216"/>
      <c r="B102" s="216"/>
      <c r="C102" s="216"/>
      <c r="D102" s="216"/>
      <c r="E102" s="216"/>
      <c r="F102" s="216"/>
      <c r="G102" s="216"/>
      <c r="H102" s="216"/>
      <c r="I102" s="216"/>
      <c r="J102">
        <f t="shared" si="1"/>
        <v>50</v>
      </c>
    </row>
    <row r="103" spans="1:10" x14ac:dyDescent="0.25">
      <c r="A103" s="216"/>
      <c r="B103" s="216"/>
      <c r="C103" s="216"/>
      <c r="D103" s="216"/>
      <c r="E103" s="216"/>
      <c r="F103" s="216"/>
      <c r="G103" s="216"/>
      <c r="H103" s="216"/>
      <c r="I103" s="216"/>
      <c r="J103">
        <f t="shared" si="1"/>
        <v>51</v>
      </c>
    </row>
    <row r="104" spans="1:10" x14ac:dyDescent="0.25">
      <c r="A104" s="216"/>
      <c r="B104" s="216"/>
      <c r="C104" s="216"/>
      <c r="D104" s="216"/>
      <c r="E104" s="216"/>
      <c r="F104" s="216"/>
      <c r="G104" s="216"/>
      <c r="H104" s="216"/>
      <c r="I104" s="216"/>
      <c r="J104">
        <f t="shared" si="1"/>
        <v>52</v>
      </c>
    </row>
    <row r="105" spans="1:10" x14ac:dyDescent="0.25">
      <c r="A105" s="216"/>
      <c r="B105" s="216"/>
      <c r="C105" s="216"/>
      <c r="D105" s="216"/>
      <c r="E105" s="216"/>
      <c r="F105" s="216"/>
      <c r="G105" s="216"/>
      <c r="H105" s="216"/>
      <c r="I105" s="216"/>
      <c r="J105">
        <f t="shared" si="1"/>
        <v>53</v>
      </c>
    </row>
    <row r="106" spans="1:10" x14ac:dyDescent="0.25">
      <c r="A106" s="216"/>
      <c r="B106" s="216"/>
      <c r="C106" s="216"/>
      <c r="D106" s="216"/>
      <c r="E106" s="216"/>
      <c r="F106" s="216"/>
      <c r="G106" s="216"/>
      <c r="H106" s="216"/>
      <c r="I106" s="216"/>
      <c r="J106">
        <f t="shared" si="1"/>
        <v>54</v>
      </c>
    </row>
    <row r="107" spans="1:10" x14ac:dyDescent="0.25">
      <c r="A107" s="216"/>
      <c r="B107" s="216"/>
      <c r="C107" s="216"/>
      <c r="D107" s="216"/>
      <c r="E107" s="216"/>
      <c r="F107" s="216"/>
      <c r="G107" s="216"/>
      <c r="H107" s="216"/>
      <c r="I107" s="216"/>
      <c r="J107">
        <f t="shared" si="1"/>
        <v>55</v>
      </c>
    </row>
    <row r="108" spans="1:10" x14ac:dyDescent="0.25">
      <c r="A108" s="216"/>
      <c r="B108" s="216"/>
      <c r="C108" s="216"/>
      <c r="D108" s="216"/>
      <c r="E108" s="216"/>
      <c r="F108" s="216"/>
      <c r="G108" s="216"/>
      <c r="H108" s="216"/>
      <c r="I108" s="216"/>
      <c r="J108">
        <f t="shared" si="1"/>
        <v>56</v>
      </c>
    </row>
    <row r="109" spans="1:10" x14ac:dyDescent="0.25">
      <c r="A109" s="216"/>
      <c r="B109" s="216"/>
      <c r="C109" s="216"/>
      <c r="D109" s="216"/>
      <c r="E109" s="216"/>
      <c r="F109" s="216"/>
      <c r="G109" s="216"/>
      <c r="H109" s="216"/>
      <c r="I109" s="216"/>
      <c r="J109">
        <f t="shared" si="1"/>
        <v>57</v>
      </c>
    </row>
    <row r="110" spans="1:10" x14ac:dyDescent="0.25">
      <c r="A110" s="216"/>
      <c r="B110" s="216"/>
      <c r="C110" s="216"/>
      <c r="D110" s="216"/>
      <c r="E110" s="216"/>
      <c r="F110" s="216"/>
      <c r="G110" s="216"/>
      <c r="H110" s="216"/>
      <c r="I110" s="216"/>
      <c r="J110">
        <f t="shared" si="1"/>
        <v>58</v>
      </c>
    </row>
    <row r="111" spans="1:10" x14ac:dyDescent="0.25">
      <c r="A111" s="216"/>
      <c r="B111" s="216"/>
      <c r="C111" s="216"/>
      <c r="D111" s="216"/>
      <c r="E111" s="216"/>
      <c r="F111" s="216"/>
      <c r="G111" s="216"/>
      <c r="H111" s="216"/>
      <c r="I111" s="216"/>
      <c r="J111">
        <f t="shared" si="1"/>
        <v>59</v>
      </c>
    </row>
    <row r="112" spans="1:10" x14ac:dyDescent="0.25">
      <c r="A112" s="216"/>
      <c r="B112" s="216"/>
      <c r="C112" s="216"/>
      <c r="D112" s="216"/>
      <c r="E112" s="216"/>
      <c r="F112" s="216"/>
      <c r="G112" s="216"/>
      <c r="H112" s="216"/>
      <c r="I112" s="216"/>
      <c r="J112">
        <f t="shared" si="1"/>
        <v>60</v>
      </c>
    </row>
    <row r="113" spans="1:10" x14ac:dyDescent="0.25">
      <c r="A113" s="216"/>
      <c r="B113" s="216"/>
      <c r="C113" s="216"/>
      <c r="D113" s="216"/>
      <c r="E113" s="216"/>
      <c r="F113" s="216"/>
      <c r="G113" s="216"/>
      <c r="H113" s="216"/>
      <c r="I113" s="216"/>
      <c r="J113">
        <f t="shared" si="1"/>
        <v>61</v>
      </c>
    </row>
    <row r="114" spans="1:10" x14ac:dyDescent="0.25">
      <c r="A114" s="216"/>
      <c r="B114" s="216"/>
      <c r="C114" s="216"/>
      <c r="D114" s="216"/>
      <c r="E114" s="216"/>
      <c r="F114" s="216"/>
      <c r="G114" s="216"/>
      <c r="H114" s="216"/>
      <c r="I114" s="216"/>
      <c r="J114">
        <f t="shared" si="1"/>
        <v>62</v>
      </c>
    </row>
    <row r="115" spans="1:10" x14ac:dyDescent="0.25">
      <c r="A115" s="216"/>
      <c r="B115" s="216"/>
      <c r="C115" s="216"/>
      <c r="D115" s="216"/>
      <c r="E115" s="216"/>
      <c r="F115" s="216"/>
      <c r="G115" s="216"/>
      <c r="H115" s="216"/>
      <c r="I115" s="216"/>
      <c r="J115">
        <f t="shared" si="1"/>
        <v>63</v>
      </c>
    </row>
    <row r="116" spans="1:10" x14ac:dyDescent="0.25">
      <c r="A116" s="216"/>
      <c r="B116" s="216"/>
      <c r="C116" s="216"/>
      <c r="D116" s="216"/>
      <c r="E116" s="216"/>
      <c r="F116" s="216"/>
      <c r="G116" s="216"/>
      <c r="H116" s="216"/>
      <c r="I116" s="216"/>
      <c r="J116">
        <f t="shared" si="1"/>
        <v>64</v>
      </c>
    </row>
    <row r="117" spans="1:10" x14ac:dyDescent="0.25">
      <c r="A117" s="216"/>
      <c r="B117" s="216"/>
      <c r="C117" s="216"/>
      <c r="D117" s="216"/>
      <c r="E117" s="216"/>
      <c r="F117" s="216"/>
      <c r="G117" s="216"/>
      <c r="H117" s="216"/>
      <c r="I117" s="216"/>
      <c r="J117">
        <f t="shared" si="1"/>
        <v>65</v>
      </c>
    </row>
    <row r="118" spans="1:10" x14ac:dyDescent="0.25">
      <c r="A118" s="216"/>
      <c r="B118" s="216"/>
      <c r="C118" s="216"/>
      <c r="D118" s="216"/>
      <c r="E118" s="216"/>
      <c r="F118" s="216"/>
      <c r="G118" s="216"/>
      <c r="H118" s="216"/>
      <c r="I118" s="216"/>
      <c r="J118">
        <f t="shared" si="1"/>
        <v>66</v>
      </c>
    </row>
    <row r="119" spans="1:10" x14ac:dyDescent="0.25">
      <c r="A119" s="216"/>
      <c r="B119" s="216"/>
      <c r="C119" s="216"/>
      <c r="D119" s="216"/>
      <c r="E119" s="216"/>
      <c r="F119" s="216"/>
      <c r="G119" s="216"/>
      <c r="H119" s="216"/>
      <c r="I119" s="216"/>
      <c r="J119">
        <f t="shared" si="1"/>
        <v>67</v>
      </c>
    </row>
    <row r="120" spans="1:10" x14ac:dyDescent="0.25">
      <c r="A120" s="216"/>
      <c r="B120" s="216"/>
      <c r="C120" s="216"/>
      <c r="D120" s="216"/>
      <c r="E120" s="216"/>
      <c r="F120" s="216"/>
      <c r="G120" s="216"/>
      <c r="H120" s="216"/>
      <c r="I120" s="216"/>
      <c r="J120">
        <f t="shared" si="1"/>
        <v>68</v>
      </c>
    </row>
    <row r="121" spans="1:10" x14ac:dyDescent="0.25">
      <c r="A121" s="216"/>
      <c r="B121" s="216"/>
      <c r="C121" s="216"/>
      <c r="D121" s="216"/>
      <c r="E121" s="216"/>
      <c r="F121" s="216"/>
      <c r="G121" s="216"/>
      <c r="H121" s="216"/>
      <c r="I121" s="216"/>
      <c r="J121">
        <f t="shared" si="1"/>
        <v>69</v>
      </c>
    </row>
    <row r="122" spans="1:10" x14ac:dyDescent="0.25">
      <c r="A122" s="216"/>
      <c r="B122" s="216"/>
      <c r="C122" s="216"/>
      <c r="D122" s="216"/>
      <c r="E122" s="216"/>
      <c r="F122" s="216"/>
      <c r="G122" s="216"/>
      <c r="H122" s="216"/>
      <c r="I122" s="216"/>
      <c r="J122">
        <f t="shared" si="1"/>
        <v>70</v>
      </c>
    </row>
    <row r="123" spans="1:10" x14ac:dyDescent="0.25">
      <c r="A123" s="216"/>
      <c r="B123" s="216"/>
      <c r="C123" s="216"/>
      <c r="D123" s="216"/>
      <c r="E123" s="216"/>
      <c r="F123" s="216"/>
      <c r="G123" s="216"/>
      <c r="H123" s="216"/>
      <c r="I123" s="216"/>
      <c r="J123">
        <f t="shared" si="1"/>
        <v>71</v>
      </c>
    </row>
    <row r="124" spans="1:10" x14ac:dyDescent="0.25">
      <c r="A124" s="216"/>
      <c r="B124" s="216"/>
      <c r="C124" s="216"/>
      <c r="D124" s="216"/>
      <c r="E124" s="216"/>
      <c r="F124" s="216"/>
      <c r="G124" s="216"/>
      <c r="H124" s="216"/>
      <c r="I124" s="216"/>
      <c r="J124">
        <f t="shared" si="1"/>
        <v>72</v>
      </c>
    </row>
    <row r="125" spans="1:10" x14ac:dyDescent="0.25">
      <c r="A125" s="216"/>
      <c r="B125" s="216"/>
      <c r="C125" s="216"/>
      <c r="D125" s="216"/>
      <c r="E125" s="216"/>
      <c r="F125" s="216"/>
      <c r="G125" s="216"/>
      <c r="H125" s="216"/>
      <c r="I125" s="216"/>
      <c r="J125">
        <f t="shared" si="1"/>
        <v>73</v>
      </c>
    </row>
    <row r="126" spans="1:10" x14ac:dyDescent="0.25">
      <c r="A126" s="216"/>
      <c r="B126" s="216"/>
      <c r="C126" s="216"/>
      <c r="D126" s="216"/>
      <c r="E126" s="216"/>
      <c r="F126" s="216"/>
      <c r="G126" s="216"/>
      <c r="H126" s="216"/>
      <c r="I126" s="216"/>
      <c r="J126">
        <f t="shared" si="1"/>
        <v>74</v>
      </c>
    </row>
    <row r="127" spans="1:10" x14ac:dyDescent="0.25">
      <c r="A127" s="216"/>
      <c r="B127" s="216"/>
      <c r="C127" s="216"/>
      <c r="D127" s="216"/>
      <c r="E127" s="216"/>
      <c r="F127" s="216"/>
      <c r="G127" s="216"/>
      <c r="H127" s="216"/>
      <c r="I127" s="216"/>
      <c r="J127">
        <f t="shared" si="1"/>
        <v>75</v>
      </c>
    </row>
    <row r="128" spans="1:10" x14ac:dyDescent="0.25">
      <c r="A128" s="216"/>
      <c r="B128" s="216"/>
      <c r="C128" s="216"/>
      <c r="D128" s="216"/>
      <c r="E128" s="216"/>
      <c r="F128" s="216"/>
      <c r="G128" s="216"/>
      <c r="H128" s="216"/>
      <c r="I128" s="216"/>
      <c r="J128">
        <f t="shared" si="1"/>
        <v>76</v>
      </c>
    </row>
    <row r="129" spans="1:10" x14ac:dyDescent="0.25">
      <c r="A129" s="216"/>
      <c r="B129" s="216"/>
      <c r="C129" s="216"/>
      <c r="D129" s="216"/>
      <c r="E129" s="216"/>
      <c r="F129" s="216"/>
      <c r="G129" s="216"/>
      <c r="H129" s="216"/>
      <c r="I129" s="216"/>
      <c r="J129">
        <f t="shared" si="1"/>
        <v>77</v>
      </c>
    </row>
    <row r="130" spans="1:10" x14ac:dyDescent="0.25">
      <c r="A130" s="216"/>
      <c r="B130" s="216"/>
      <c r="C130" s="216"/>
      <c r="D130" s="216"/>
      <c r="E130" s="216"/>
      <c r="F130" s="216"/>
      <c r="G130" s="216"/>
      <c r="H130" s="216"/>
      <c r="I130" s="216"/>
      <c r="J130">
        <f t="shared" si="1"/>
        <v>78</v>
      </c>
    </row>
    <row r="131" spans="1:10" x14ac:dyDescent="0.25">
      <c r="A131" s="216"/>
      <c r="B131" s="216"/>
      <c r="C131" s="216"/>
      <c r="D131" s="216"/>
      <c r="E131" s="216"/>
      <c r="F131" s="216"/>
      <c r="G131" s="216"/>
      <c r="H131" s="216"/>
      <c r="I131" s="216"/>
      <c r="J131">
        <f t="shared" si="1"/>
        <v>79</v>
      </c>
    </row>
    <row r="132" spans="1:10" x14ac:dyDescent="0.25">
      <c r="A132" s="216"/>
      <c r="B132" s="216"/>
      <c r="C132" s="216"/>
      <c r="D132" s="216"/>
      <c r="E132" s="216"/>
      <c r="F132" s="216"/>
      <c r="G132" s="216"/>
      <c r="H132" s="216"/>
      <c r="I132" s="216"/>
      <c r="J132">
        <f t="shared" ref="J132:J195" si="2">J131+1</f>
        <v>80</v>
      </c>
    </row>
    <row r="133" spans="1:10" x14ac:dyDescent="0.25">
      <c r="A133" s="216"/>
      <c r="B133" s="216"/>
      <c r="C133" s="216"/>
      <c r="D133" s="216"/>
      <c r="E133" s="216"/>
      <c r="F133" s="216"/>
      <c r="G133" s="216"/>
      <c r="H133" s="216"/>
      <c r="I133" s="216"/>
      <c r="J133">
        <f t="shared" si="2"/>
        <v>81</v>
      </c>
    </row>
    <row r="134" spans="1:10" x14ac:dyDescent="0.25">
      <c r="A134" s="216"/>
      <c r="B134" s="216"/>
      <c r="C134" s="216"/>
      <c r="D134" s="216"/>
      <c r="E134" s="216"/>
      <c r="F134" s="216"/>
      <c r="G134" s="216"/>
      <c r="H134" s="216"/>
      <c r="I134" s="216"/>
      <c r="J134">
        <f t="shared" si="2"/>
        <v>82</v>
      </c>
    </row>
    <row r="135" spans="1:10" x14ac:dyDescent="0.25">
      <c r="A135" s="216"/>
      <c r="B135" s="216"/>
      <c r="C135" s="216"/>
      <c r="D135" s="216"/>
      <c r="E135" s="216"/>
      <c r="F135" s="216"/>
      <c r="G135" s="216"/>
      <c r="H135" s="216"/>
      <c r="I135" s="216"/>
      <c r="J135">
        <f t="shared" si="2"/>
        <v>83</v>
      </c>
    </row>
    <row r="136" spans="1:10" x14ac:dyDescent="0.25">
      <c r="A136" s="216"/>
      <c r="B136" s="216"/>
      <c r="C136" s="216"/>
      <c r="D136" s="216"/>
      <c r="E136" s="216"/>
      <c r="F136" s="216"/>
      <c r="G136" s="216"/>
      <c r="H136" s="216"/>
      <c r="I136" s="216"/>
      <c r="J136">
        <f t="shared" si="2"/>
        <v>84</v>
      </c>
    </row>
    <row r="137" spans="1:10" x14ac:dyDescent="0.25">
      <c r="A137" s="216"/>
      <c r="B137" s="216"/>
      <c r="C137" s="216"/>
      <c r="D137" s="216"/>
      <c r="E137" s="216"/>
      <c r="F137" s="216"/>
      <c r="G137" s="216"/>
      <c r="H137" s="216"/>
      <c r="I137" s="216"/>
      <c r="J137">
        <f t="shared" si="2"/>
        <v>85</v>
      </c>
    </row>
    <row r="138" spans="1:10" x14ac:dyDescent="0.25">
      <c r="A138" s="216"/>
      <c r="B138" s="216"/>
      <c r="C138" s="216"/>
      <c r="D138" s="216"/>
      <c r="E138" s="216"/>
      <c r="F138" s="216"/>
      <c r="G138" s="216"/>
      <c r="H138" s="216"/>
      <c r="I138" s="216"/>
      <c r="J138">
        <f t="shared" si="2"/>
        <v>86</v>
      </c>
    </row>
    <row r="139" spans="1:10" x14ac:dyDescent="0.25">
      <c r="A139" s="216"/>
      <c r="B139" s="216"/>
      <c r="C139" s="216"/>
      <c r="D139" s="216"/>
      <c r="E139" s="216"/>
      <c r="F139" s="216"/>
      <c r="G139" s="216"/>
      <c r="H139" s="216"/>
      <c r="I139" s="216"/>
      <c r="J139">
        <f t="shared" si="2"/>
        <v>87</v>
      </c>
    </row>
    <row r="140" spans="1:10" x14ac:dyDescent="0.25">
      <c r="A140" s="216"/>
      <c r="B140" s="216"/>
      <c r="C140" s="216"/>
      <c r="D140" s="216"/>
      <c r="E140" s="216"/>
      <c r="F140" s="216"/>
      <c r="G140" s="216"/>
      <c r="H140" s="216"/>
      <c r="I140" s="216"/>
      <c r="J140">
        <f t="shared" si="2"/>
        <v>88</v>
      </c>
    </row>
    <row r="141" spans="1:10" x14ac:dyDescent="0.25">
      <c r="A141" s="216"/>
      <c r="B141" s="216"/>
      <c r="C141" s="216"/>
      <c r="D141" s="216"/>
      <c r="E141" s="216"/>
      <c r="F141" s="216"/>
      <c r="G141" s="216"/>
      <c r="H141" s="216"/>
      <c r="I141" s="216"/>
      <c r="J141">
        <f t="shared" si="2"/>
        <v>89</v>
      </c>
    </row>
    <row r="142" spans="1:10" x14ac:dyDescent="0.25">
      <c r="A142" s="216"/>
      <c r="B142" s="216"/>
      <c r="C142" s="216"/>
      <c r="D142" s="216"/>
      <c r="E142" s="216"/>
      <c r="F142" s="216"/>
      <c r="G142" s="216"/>
      <c r="H142" s="216"/>
      <c r="I142" s="216"/>
      <c r="J142">
        <f t="shared" si="2"/>
        <v>90</v>
      </c>
    </row>
    <row r="143" spans="1:10" x14ac:dyDescent="0.25">
      <c r="A143" s="216"/>
      <c r="B143" s="216"/>
      <c r="C143" s="216"/>
      <c r="D143" s="216"/>
      <c r="E143" s="216"/>
      <c r="F143" s="216"/>
      <c r="G143" s="216"/>
      <c r="H143" s="216"/>
      <c r="I143" s="216"/>
      <c r="J143">
        <f t="shared" si="2"/>
        <v>91</v>
      </c>
    </row>
    <row r="144" spans="1:10" x14ac:dyDescent="0.25">
      <c r="A144" s="216"/>
      <c r="B144" s="216"/>
      <c r="C144" s="216"/>
      <c r="D144" s="216"/>
      <c r="E144" s="216"/>
      <c r="F144" s="216"/>
      <c r="G144" s="216"/>
      <c r="H144" s="216"/>
      <c r="I144" s="216"/>
      <c r="J144">
        <f t="shared" si="2"/>
        <v>92</v>
      </c>
    </row>
    <row r="145" spans="1:10" x14ac:dyDescent="0.25">
      <c r="A145" s="216"/>
      <c r="B145" s="216"/>
      <c r="C145" s="216"/>
      <c r="D145" s="216"/>
      <c r="E145" s="216"/>
      <c r="F145" s="216"/>
      <c r="G145" s="216"/>
      <c r="H145" s="216"/>
      <c r="I145" s="216"/>
      <c r="J145">
        <f t="shared" si="2"/>
        <v>93</v>
      </c>
    </row>
    <row r="146" spans="1:10" x14ac:dyDescent="0.25">
      <c r="A146" s="216"/>
      <c r="B146" s="216"/>
      <c r="C146" s="216"/>
      <c r="D146" s="216"/>
      <c r="E146" s="216"/>
      <c r="F146" s="216"/>
      <c r="G146" s="216"/>
      <c r="H146" s="216"/>
      <c r="I146" s="216"/>
      <c r="J146">
        <f t="shared" si="2"/>
        <v>94</v>
      </c>
    </row>
    <row r="147" spans="1:10" x14ac:dyDescent="0.25">
      <c r="A147" s="216"/>
      <c r="B147" s="216"/>
      <c r="C147" s="216"/>
      <c r="D147" s="216"/>
      <c r="E147" s="216"/>
      <c r="F147" s="216"/>
      <c r="G147" s="216"/>
      <c r="H147" s="216"/>
      <c r="I147" s="216"/>
      <c r="J147">
        <f t="shared" si="2"/>
        <v>95</v>
      </c>
    </row>
    <row r="148" spans="1:10" x14ac:dyDescent="0.25">
      <c r="A148" s="216"/>
      <c r="B148" s="216"/>
      <c r="C148" s="216"/>
      <c r="D148" s="216"/>
      <c r="E148" s="216"/>
      <c r="F148" s="216"/>
      <c r="G148" s="216"/>
      <c r="H148" s="216"/>
      <c r="I148" s="216"/>
      <c r="J148">
        <f t="shared" si="2"/>
        <v>96</v>
      </c>
    </row>
    <row r="149" spans="1:10" x14ac:dyDescent="0.25">
      <c r="A149" s="216"/>
      <c r="B149" s="216"/>
      <c r="C149" s="216"/>
      <c r="D149" s="216"/>
      <c r="E149" s="216"/>
      <c r="F149" s="216"/>
      <c r="G149" s="216"/>
      <c r="H149" s="216"/>
      <c r="I149" s="216"/>
      <c r="J149">
        <f t="shared" si="2"/>
        <v>97</v>
      </c>
    </row>
    <row r="150" spans="1:10" x14ac:dyDescent="0.25">
      <c r="A150" s="216"/>
      <c r="B150" s="216"/>
      <c r="C150" s="216"/>
      <c r="D150" s="216"/>
      <c r="E150" s="216"/>
      <c r="F150" s="216"/>
      <c r="G150" s="216"/>
      <c r="H150" s="216"/>
      <c r="I150" s="216"/>
      <c r="J150">
        <f t="shared" si="2"/>
        <v>98</v>
      </c>
    </row>
    <row r="151" spans="1:10" x14ac:dyDescent="0.25">
      <c r="A151" s="216"/>
      <c r="B151" s="216"/>
      <c r="C151" s="216"/>
      <c r="D151" s="216"/>
      <c r="E151" s="216"/>
      <c r="F151" s="216"/>
      <c r="G151" s="216"/>
      <c r="H151" s="216"/>
      <c r="I151" s="216"/>
      <c r="J151">
        <f t="shared" si="2"/>
        <v>99</v>
      </c>
    </row>
    <row r="152" spans="1:10" x14ac:dyDescent="0.25">
      <c r="A152" s="216"/>
      <c r="B152" s="216"/>
      <c r="C152" s="216"/>
      <c r="D152" s="216"/>
      <c r="E152" s="216"/>
      <c r="F152" s="216"/>
      <c r="G152" s="216"/>
      <c r="H152" s="216"/>
      <c r="I152" s="216"/>
      <c r="J152">
        <f t="shared" si="2"/>
        <v>100</v>
      </c>
    </row>
    <row r="153" spans="1:10" x14ac:dyDescent="0.25">
      <c r="A153" s="216"/>
      <c r="B153" s="216"/>
      <c r="C153" s="216"/>
      <c r="D153" s="216"/>
      <c r="E153" s="216"/>
      <c r="F153" s="216"/>
      <c r="G153" s="216"/>
      <c r="H153" s="216"/>
      <c r="I153" s="216"/>
      <c r="J153">
        <f t="shared" si="2"/>
        <v>101</v>
      </c>
    </row>
    <row r="154" spans="1:10" x14ac:dyDescent="0.25">
      <c r="A154" s="216"/>
      <c r="B154" s="216"/>
      <c r="C154" s="216"/>
      <c r="D154" s="216"/>
      <c r="E154" s="216"/>
      <c r="F154" s="216"/>
      <c r="G154" s="216"/>
      <c r="H154" s="216"/>
      <c r="I154" s="216"/>
      <c r="J154">
        <f t="shared" si="2"/>
        <v>102</v>
      </c>
    </row>
    <row r="155" spans="1:10" x14ac:dyDescent="0.25">
      <c r="A155" s="216"/>
      <c r="B155" s="216"/>
      <c r="C155" s="216"/>
      <c r="D155" s="216"/>
      <c r="E155" s="216"/>
      <c r="F155" s="216"/>
      <c r="G155" s="216"/>
      <c r="H155" s="216"/>
      <c r="I155" s="216"/>
      <c r="J155">
        <f t="shared" si="2"/>
        <v>103</v>
      </c>
    </row>
    <row r="156" spans="1:10" x14ac:dyDescent="0.25">
      <c r="A156" s="216"/>
      <c r="B156" s="216"/>
      <c r="C156" s="216"/>
      <c r="D156" s="216"/>
      <c r="E156" s="216"/>
      <c r="F156" s="216"/>
      <c r="G156" s="216"/>
      <c r="H156" s="216"/>
      <c r="I156" s="216"/>
      <c r="J156">
        <f t="shared" si="2"/>
        <v>104</v>
      </c>
    </row>
    <row r="157" spans="1:10" x14ac:dyDescent="0.25">
      <c r="A157" s="216"/>
      <c r="B157" s="216"/>
      <c r="C157" s="216"/>
      <c r="D157" s="216"/>
      <c r="E157" s="216"/>
      <c r="F157" s="216"/>
      <c r="G157" s="216"/>
      <c r="H157" s="216"/>
      <c r="I157" s="216"/>
      <c r="J157">
        <f t="shared" si="2"/>
        <v>105</v>
      </c>
    </row>
    <row r="158" spans="1:10" x14ac:dyDescent="0.25">
      <c r="A158" s="216"/>
      <c r="B158" s="216"/>
      <c r="C158" s="216"/>
      <c r="D158" s="216"/>
      <c r="E158" s="216"/>
      <c r="F158" s="216"/>
      <c r="G158" s="216"/>
      <c r="H158" s="216"/>
      <c r="I158" s="216"/>
      <c r="J158">
        <f t="shared" si="2"/>
        <v>106</v>
      </c>
    </row>
    <row r="159" spans="1:10" x14ac:dyDescent="0.25">
      <c r="A159" s="216"/>
      <c r="B159" s="216"/>
      <c r="C159" s="216"/>
      <c r="D159" s="216"/>
      <c r="E159" s="216"/>
      <c r="F159" s="216"/>
      <c r="G159" s="216"/>
      <c r="H159" s="216"/>
      <c r="I159" s="216"/>
      <c r="J159">
        <f t="shared" si="2"/>
        <v>107</v>
      </c>
    </row>
    <row r="160" spans="1:10" x14ac:dyDescent="0.25">
      <c r="A160" s="216"/>
      <c r="B160" s="216"/>
      <c r="C160" s="216"/>
      <c r="D160" s="216"/>
      <c r="E160" s="216"/>
      <c r="F160" s="216"/>
      <c r="G160" s="216"/>
      <c r="H160" s="216"/>
      <c r="I160" s="216"/>
      <c r="J160">
        <f t="shared" si="2"/>
        <v>108</v>
      </c>
    </row>
    <row r="161" spans="1:10" x14ac:dyDescent="0.25">
      <c r="A161" s="216"/>
      <c r="B161" s="216"/>
      <c r="C161" s="216"/>
      <c r="D161" s="216"/>
      <c r="E161" s="216"/>
      <c r="F161" s="216"/>
      <c r="G161" s="216"/>
      <c r="H161" s="216"/>
      <c r="I161" s="216"/>
      <c r="J161">
        <f t="shared" si="2"/>
        <v>109</v>
      </c>
    </row>
    <row r="162" spans="1:10" x14ac:dyDescent="0.25">
      <c r="A162" s="216"/>
      <c r="B162" s="216"/>
      <c r="C162" s="216"/>
      <c r="D162" s="216"/>
      <c r="E162" s="216"/>
      <c r="F162" s="216"/>
      <c r="G162" s="216"/>
      <c r="H162" s="216"/>
      <c r="I162" s="216"/>
      <c r="J162">
        <f t="shared" si="2"/>
        <v>110</v>
      </c>
    </row>
    <row r="163" spans="1:10" x14ac:dyDescent="0.25">
      <c r="A163" s="216"/>
      <c r="B163" s="216"/>
      <c r="C163" s="216"/>
      <c r="D163" s="216"/>
      <c r="E163" s="216"/>
      <c r="F163" s="216"/>
      <c r="G163" s="216"/>
      <c r="H163" s="216"/>
      <c r="I163" s="216"/>
      <c r="J163">
        <f t="shared" si="2"/>
        <v>111</v>
      </c>
    </row>
    <row r="164" spans="1:10" x14ac:dyDescent="0.25">
      <c r="A164" s="216"/>
      <c r="B164" s="216"/>
      <c r="C164" s="216"/>
      <c r="D164" s="216"/>
      <c r="E164" s="216"/>
      <c r="F164" s="216"/>
      <c r="G164" s="216"/>
      <c r="H164" s="216"/>
      <c r="I164" s="216"/>
      <c r="J164">
        <f t="shared" si="2"/>
        <v>112</v>
      </c>
    </row>
    <row r="165" spans="1:10" x14ac:dyDescent="0.25">
      <c r="A165" s="216"/>
      <c r="B165" s="216"/>
      <c r="C165" s="216"/>
      <c r="D165" s="216"/>
      <c r="E165" s="216"/>
      <c r="F165" s="216"/>
      <c r="G165" s="216"/>
      <c r="H165" s="216"/>
      <c r="I165" s="216"/>
      <c r="J165">
        <f t="shared" si="2"/>
        <v>113</v>
      </c>
    </row>
    <row r="166" spans="1:10" x14ac:dyDescent="0.25">
      <c r="A166" s="216"/>
      <c r="B166" s="216"/>
      <c r="C166" s="216"/>
      <c r="D166" s="216"/>
      <c r="E166" s="216"/>
      <c r="F166" s="216"/>
      <c r="G166" s="216"/>
      <c r="H166" s="216"/>
      <c r="I166" s="216"/>
      <c r="J166">
        <f t="shared" si="2"/>
        <v>114</v>
      </c>
    </row>
    <row r="167" spans="1:10" x14ac:dyDescent="0.25">
      <c r="A167" s="216"/>
      <c r="B167" s="216"/>
      <c r="C167" s="216"/>
      <c r="D167" s="216"/>
      <c r="E167" s="216"/>
      <c r="F167" s="216"/>
      <c r="G167" s="216"/>
      <c r="H167" s="216"/>
      <c r="I167" s="216"/>
      <c r="J167">
        <f t="shared" si="2"/>
        <v>115</v>
      </c>
    </row>
    <row r="168" spans="1:10" x14ac:dyDescent="0.25">
      <c r="A168" s="216"/>
      <c r="B168" s="216"/>
      <c r="C168" s="216"/>
      <c r="D168" s="216"/>
      <c r="E168" s="216"/>
      <c r="F168" s="216"/>
      <c r="G168" s="216"/>
      <c r="H168" s="216"/>
      <c r="I168" s="216"/>
      <c r="J168">
        <f t="shared" si="2"/>
        <v>116</v>
      </c>
    </row>
    <row r="169" spans="1:10" x14ac:dyDescent="0.25">
      <c r="A169" s="216"/>
      <c r="B169" s="216"/>
      <c r="C169" s="216"/>
      <c r="D169" s="216"/>
      <c r="E169" s="216"/>
      <c r="F169" s="216"/>
      <c r="G169" s="216"/>
      <c r="H169" s="216"/>
      <c r="I169" s="216"/>
      <c r="J169">
        <f t="shared" si="2"/>
        <v>117</v>
      </c>
    </row>
    <row r="170" spans="1:10" x14ac:dyDescent="0.25">
      <c r="A170" s="216"/>
      <c r="B170" s="216"/>
      <c r="C170" s="216"/>
      <c r="D170" s="216"/>
      <c r="E170" s="216"/>
      <c r="F170" s="216"/>
      <c r="G170" s="216"/>
      <c r="H170" s="216"/>
      <c r="I170" s="216"/>
      <c r="J170">
        <f t="shared" si="2"/>
        <v>118</v>
      </c>
    </row>
    <row r="171" spans="1:10" x14ac:dyDescent="0.25">
      <c r="A171" s="216"/>
      <c r="B171" s="216"/>
      <c r="C171" s="216"/>
      <c r="D171" s="216"/>
      <c r="E171" s="216"/>
      <c r="F171" s="216"/>
      <c r="G171" s="216"/>
      <c r="H171" s="216"/>
      <c r="I171" s="216"/>
      <c r="J171">
        <f t="shared" si="2"/>
        <v>119</v>
      </c>
    </row>
    <row r="172" spans="1:10" x14ac:dyDescent="0.25">
      <c r="A172" s="216"/>
      <c r="B172" s="216"/>
      <c r="C172" s="216"/>
      <c r="D172" s="216"/>
      <c r="E172" s="216"/>
      <c r="F172" s="216"/>
      <c r="G172" s="216"/>
      <c r="H172" s="216"/>
      <c r="I172" s="216"/>
      <c r="J172">
        <f t="shared" si="2"/>
        <v>120</v>
      </c>
    </row>
    <row r="173" spans="1:10" x14ac:dyDescent="0.25">
      <c r="A173" s="216"/>
      <c r="B173" s="216"/>
      <c r="C173" s="216"/>
      <c r="D173" s="216"/>
      <c r="E173" s="216"/>
      <c r="F173" s="216"/>
      <c r="G173" s="216"/>
      <c r="H173" s="216"/>
      <c r="I173" s="216"/>
      <c r="J173">
        <f t="shared" si="2"/>
        <v>121</v>
      </c>
    </row>
    <row r="174" spans="1:10" x14ac:dyDescent="0.25">
      <c r="A174" s="216"/>
      <c r="B174" s="216"/>
      <c r="C174" s="216"/>
      <c r="D174" s="216"/>
      <c r="E174" s="216"/>
      <c r="F174" s="216"/>
      <c r="G174" s="216"/>
      <c r="H174" s="216"/>
      <c r="I174" s="216"/>
      <c r="J174">
        <f t="shared" si="2"/>
        <v>122</v>
      </c>
    </row>
    <row r="175" spans="1:10" x14ac:dyDescent="0.25">
      <c r="A175" s="216"/>
      <c r="B175" s="216"/>
      <c r="C175" s="216"/>
      <c r="D175" s="216"/>
      <c r="E175" s="216"/>
      <c r="F175" s="216"/>
      <c r="G175" s="216"/>
      <c r="H175" s="216"/>
      <c r="I175" s="216"/>
      <c r="J175">
        <f t="shared" si="2"/>
        <v>123</v>
      </c>
    </row>
    <row r="176" spans="1:10" x14ac:dyDescent="0.25">
      <c r="A176" s="216"/>
      <c r="B176" s="216"/>
      <c r="C176" s="216"/>
      <c r="D176" s="216"/>
      <c r="E176" s="216"/>
      <c r="F176" s="216"/>
      <c r="G176" s="216"/>
      <c r="H176" s="216"/>
      <c r="I176" s="216"/>
      <c r="J176">
        <f t="shared" si="2"/>
        <v>124</v>
      </c>
    </row>
    <row r="177" spans="1:10" x14ac:dyDescent="0.25">
      <c r="A177" s="216"/>
      <c r="B177" s="216"/>
      <c r="C177" s="216"/>
      <c r="D177" s="216"/>
      <c r="E177" s="216"/>
      <c r="F177" s="216"/>
      <c r="G177" s="216"/>
      <c r="H177" s="216"/>
      <c r="I177" s="216"/>
      <c r="J177">
        <f t="shared" si="2"/>
        <v>125</v>
      </c>
    </row>
    <row r="178" spans="1:10" x14ac:dyDescent="0.25">
      <c r="A178" s="216"/>
      <c r="B178" s="216"/>
      <c r="C178" s="216"/>
      <c r="D178" s="216"/>
      <c r="E178" s="216"/>
      <c r="F178" s="216"/>
      <c r="G178" s="216"/>
      <c r="H178" s="216"/>
      <c r="I178" s="216"/>
      <c r="J178">
        <f t="shared" si="2"/>
        <v>126</v>
      </c>
    </row>
    <row r="179" spans="1:10" x14ac:dyDescent="0.25">
      <c r="A179" s="216"/>
      <c r="B179" s="216"/>
      <c r="C179" s="216"/>
      <c r="D179" s="216"/>
      <c r="E179" s="216"/>
      <c r="F179" s="216"/>
      <c r="G179" s="216"/>
      <c r="H179" s="216"/>
      <c r="I179" s="216"/>
      <c r="J179">
        <f t="shared" si="2"/>
        <v>127</v>
      </c>
    </row>
    <row r="180" spans="1:10" x14ac:dyDescent="0.25">
      <c r="A180" s="216"/>
      <c r="B180" s="216"/>
      <c r="C180" s="216"/>
      <c r="D180" s="216"/>
      <c r="E180" s="216"/>
      <c r="F180" s="216"/>
      <c r="G180" s="216"/>
      <c r="H180" s="216"/>
      <c r="I180" s="216"/>
      <c r="J180">
        <f t="shared" si="2"/>
        <v>128</v>
      </c>
    </row>
    <row r="181" spans="1:10" x14ac:dyDescent="0.25">
      <c r="A181" s="216"/>
      <c r="B181" s="216"/>
      <c r="C181" s="216"/>
      <c r="D181" s="216"/>
      <c r="E181" s="216"/>
      <c r="F181" s="216"/>
      <c r="G181" s="216"/>
      <c r="H181" s="216"/>
      <c r="I181" s="216"/>
      <c r="J181">
        <f t="shared" si="2"/>
        <v>129</v>
      </c>
    </row>
    <row r="182" spans="1:10" x14ac:dyDescent="0.25">
      <c r="A182" s="216"/>
      <c r="B182" s="216"/>
      <c r="C182" s="216"/>
      <c r="D182" s="216"/>
      <c r="E182" s="216"/>
      <c r="F182" s="216"/>
      <c r="G182" s="216"/>
      <c r="H182" s="216"/>
      <c r="I182" s="216"/>
      <c r="J182">
        <f t="shared" si="2"/>
        <v>130</v>
      </c>
    </row>
    <row r="183" spans="1:10" x14ac:dyDescent="0.25">
      <c r="A183" s="216"/>
      <c r="B183" s="216"/>
      <c r="C183" s="216"/>
      <c r="D183" s="216"/>
      <c r="E183" s="216"/>
      <c r="F183" s="216"/>
      <c r="G183" s="216"/>
      <c r="H183" s="216"/>
      <c r="I183" s="216"/>
      <c r="J183">
        <f t="shared" si="2"/>
        <v>131</v>
      </c>
    </row>
    <row r="184" spans="1:10" x14ac:dyDescent="0.25">
      <c r="A184" s="216"/>
      <c r="B184" s="216"/>
      <c r="C184" s="216"/>
      <c r="D184" s="216"/>
      <c r="E184" s="216"/>
      <c r="F184" s="216"/>
      <c r="G184" s="216"/>
      <c r="H184" s="216"/>
      <c r="I184" s="216"/>
      <c r="J184">
        <f t="shared" si="2"/>
        <v>132</v>
      </c>
    </row>
    <row r="185" spans="1:10" x14ac:dyDescent="0.25">
      <c r="A185" s="216"/>
      <c r="B185" s="216"/>
      <c r="C185" s="216"/>
      <c r="D185" s="216"/>
      <c r="E185" s="216"/>
      <c r="F185" s="216"/>
      <c r="G185" s="216"/>
      <c r="H185" s="216"/>
      <c r="I185" s="216"/>
      <c r="J185">
        <f t="shared" si="2"/>
        <v>133</v>
      </c>
    </row>
    <row r="186" spans="1:10" x14ac:dyDescent="0.25">
      <c r="A186" s="216"/>
      <c r="B186" s="216"/>
      <c r="C186" s="216"/>
      <c r="D186" s="216"/>
      <c r="E186" s="216"/>
      <c r="F186" s="216"/>
      <c r="G186" s="216"/>
      <c r="H186" s="216"/>
      <c r="I186" s="216"/>
      <c r="J186">
        <f t="shared" si="2"/>
        <v>134</v>
      </c>
    </row>
    <row r="187" spans="1:10" x14ac:dyDescent="0.25">
      <c r="A187" s="216"/>
      <c r="B187" s="216"/>
      <c r="C187" s="216"/>
      <c r="D187" s="216"/>
      <c r="E187" s="216"/>
      <c r="F187" s="216"/>
      <c r="G187" s="216"/>
      <c r="H187" s="216"/>
      <c r="I187" s="216"/>
      <c r="J187">
        <f t="shared" si="2"/>
        <v>135</v>
      </c>
    </row>
    <row r="188" spans="1:10" x14ac:dyDescent="0.25">
      <c r="A188" s="216"/>
      <c r="B188" s="216"/>
      <c r="C188" s="216"/>
      <c r="D188" s="216"/>
      <c r="E188" s="216"/>
      <c r="F188" s="216"/>
      <c r="G188" s="216"/>
      <c r="H188" s="216"/>
      <c r="I188" s="216"/>
      <c r="J188">
        <f t="shared" si="2"/>
        <v>136</v>
      </c>
    </row>
    <row r="189" spans="1:10" x14ac:dyDescent="0.25">
      <c r="A189" s="216"/>
      <c r="B189" s="216"/>
      <c r="C189" s="216"/>
      <c r="D189" s="216"/>
      <c r="E189" s="216"/>
      <c r="F189" s="216"/>
      <c r="G189" s="216"/>
      <c r="H189" s="216"/>
      <c r="I189" s="216"/>
      <c r="J189">
        <f t="shared" si="2"/>
        <v>137</v>
      </c>
    </row>
    <row r="190" spans="1:10" x14ac:dyDescent="0.25">
      <c r="A190" s="216"/>
      <c r="B190" s="216"/>
      <c r="C190" s="216"/>
      <c r="D190" s="216"/>
      <c r="E190" s="216"/>
      <c r="F190" s="216"/>
      <c r="G190" s="216"/>
      <c r="H190" s="216"/>
      <c r="I190" s="216"/>
      <c r="J190">
        <f t="shared" si="2"/>
        <v>138</v>
      </c>
    </row>
    <row r="191" spans="1:10" x14ac:dyDescent="0.25">
      <c r="A191" s="216"/>
      <c r="B191" s="216"/>
      <c r="C191" s="216"/>
      <c r="D191" s="216"/>
      <c r="E191" s="216"/>
      <c r="F191" s="216"/>
      <c r="G191" s="216"/>
      <c r="H191" s="216"/>
      <c r="I191" s="216"/>
      <c r="J191">
        <f t="shared" si="2"/>
        <v>139</v>
      </c>
    </row>
    <row r="192" spans="1:10" x14ac:dyDescent="0.25">
      <c r="A192" s="216"/>
      <c r="B192" s="216"/>
      <c r="C192" s="216"/>
      <c r="D192" s="216"/>
      <c r="E192" s="216"/>
      <c r="F192" s="216"/>
      <c r="G192" s="216"/>
      <c r="H192" s="216"/>
      <c r="I192" s="216"/>
      <c r="J192">
        <f t="shared" si="2"/>
        <v>140</v>
      </c>
    </row>
    <row r="193" spans="1:10" x14ac:dyDescent="0.25">
      <c r="A193" s="216"/>
      <c r="B193" s="216"/>
      <c r="C193" s="216"/>
      <c r="D193" s="216"/>
      <c r="E193" s="216"/>
      <c r="F193" s="216"/>
      <c r="G193" s="216"/>
      <c r="H193" s="216"/>
      <c r="I193" s="216"/>
      <c r="J193">
        <f t="shared" si="2"/>
        <v>141</v>
      </c>
    </row>
    <row r="194" spans="1:10" x14ac:dyDescent="0.25">
      <c r="A194" s="216"/>
      <c r="B194" s="216"/>
      <c r="C194" s="216"/>
      <c r="D194" s="216"/>
      <c r="E194" s="216"/>
      <c r="F194" s="216"/>
      <c r="G194" s="216"/>
      <c r="H194" s="216"/>
      <c r="I194" s="216"/>
      <c r="J194">
        <f t="shared" si="2"/>
        <v>142</v>
      </c>
    </row>
    <row r="195" spans="1:10" x14ac:dyDescent="0.25">
      <c r="A195" s="216"/>
      <c r="B195" s="216"/>
      <c r="C195" s="216"/>
      <c r="D195" s="216"/>
      <c r="E195" s="216"/>
      <c r="F195" s="216"/>
      <c r="G195" s="216"/>
      <c r="H195" s="216"/>
      <c r="I195" s="216"/>
      <c r="J195">
        <f t="shared" si="2"/>
        <v>143</v>
      </c>
    </row>
    <row r="196" spans="1:10" x14ac:dyDescent="0.25">
      <c r="A196" s="216"/>
      <c r="B196" s="216"/>
      <c r="C196" s="216"/>
      <c r="D196" s="216"/>
      <c r="E196" s="216"/>
      <c r="F196" s="216"/>
      <c r="G196" s="216"/>
      <c r="H196" s="216"/>
      <c r="I196" s="216"/>
      <c r="J196">
        <f t="shared" ref="J196:J259" si="3">J195+1</f>
        <v>144</v>
      </c>
    </row>
    <row r="197" spans="1:10" x14ac:dyDescent="0.25">
      <c r="A197" s="216"/>
      <c r="B197" s="216"/>
      <c r="C197" s="216"/>
      <c r="D197" s="216"/>
      <c r="E197" s="216"/>
      <c r="F197" s="216"/>
      <c r="G197" s="216"/>
      <c r="H197" s="216"/>
      <c r="I197" s="216"/>
      <c r="J197">
        <f t="shared" si="3"/>
        <v>145</v>
      </c>
    </row>
    <row r="198" spans="1:10" x14ac:dyDescent="0.25">
      <c r="A198" s="216"/>
      <c r="B198" s="216"/>
      <c r="C198" s="216"/>
      <c r="D198" s="216"/>
      <c r="E198" s="216"/>
      <c r="F198" s="216"/>
      <c r="G198" s="216"/>
      <c r="H198" s="216"/>
      <c r="I198" s="216"/>
      <c r="J198">
        <f t="shared" si="3"/>
        <v>146</v>
      </c>
    </row>
    <row r="199" spans="1:10" x14ac:dyDescent="0.25">
      <c r="A199" s="216"/>
      <c r="B199" s="216"/>
      <c r="C199" s="216"/>
      <c r="D199" s="216"/>
      <c r="E199" s="216"/>
      <c r="F199" s="216"/>
      <c r="G199" s="216"/>
      <c r="H199" s="216"/>
      <c r="I199" s="216"/>
      <c r="J199">
        <f t="shared" si="3"/>
        <v>147</v>
      </c>
    </row>
    <row r="200" spans="1:10" x14ac:dyDescent="0.25">
      <c r="A200" s="216"/>
      <c r="B200" s="216"/>
      <c r="C200" s="216"/>
      <c r="D200" s="216"/>
      <c r="E200" s="216"/>
      <c r="F200" s="216"/>
      <c r="G200" s="216"/>
      <c r="H200" s="216"/>
      <c r="I200" s="216"/>
      <c r="J200">
        <f t="shared" si="3"/>
        <v>148</v>
      </c>
    </row>
    <row r="201" spans="1:10" x14ac:dyDescent="0.25">
      <c r="A201" s="216"/>
      <c r="B201" s="216"/>
      <c r="C201" s="216"/>
      <c r="D201" s="216"/>
      <c r="E201" s="216"/>
      <c r="F201" s="216"/>
      <c r="G201" s="216"/>
      <c r="H201" s="216"/>
      <c r="I201" s="216"/>
      <c r="J201">
        <f t="shared" si="3"/>
        <v>149</v>
      </c>
    </row>
    <row r="202" spans="1:10" x14ac:dyDescent="0.25">
      <c r="A202" s="216"/>
      <c r="B202" s="216"/>
      <c r="C202" s="216"/>
      <c r="D202" s="216"/>
      <c r="E202" s="216"/>
      <c r="F202" s="216"/>
      <c r="G202" s="216"/>
      <c r="H202" s="216"/>
      <c r="I202" s="216"/>
      <c r="J202">
        <f t="shared" si="3"/>
        <v>150</v>
      </c>
    </row>
    <row r="203" spans="1:10" x14ac:dyDescent="0.25">
      <c r="A203" s="216"/>
      <c r="B203" s="216"/>
      <c r="C203" s="216"/>
      <c r="D203" s="216"/>
      <c r="E203" s="216"/>
      <c r="F203" s="216"/>
      <c r="G203" s="216"/>
      <c r="H203" s="216"/>
      <c r="I203" s="216"/>
      <c r="J203">
        <f t="shared" si="3"/>
        <v>151</v>
      </c>
    </row>
    <row r="204" spans="1:10" x14ac:dyDescent="0.25">
      <c r="A204" s="216"/>
      <c r="B204" s="216"/>
      <c r="C204" s="216"/>
      <c r="D204" s="216"/>
      <c r="E204" s="216"/>
      <c r="F204" s="216"/>
      <c r="G204" s="216"/>
      <c r="H204" s="216"/>
      <c r="I204" s="216"/>
      <c r="J204">
        <f t="shared" si="3"/>
        <v>152</v>
      </c>
    </row>
    <row r="205" spans="1:10" x14ac:dyDescent="0.25">
      <c r="A205" s="216"/>
      <c r="B205" s="216"/>
      <c r="C205" s="216"/>
      <c r="D205" s="216"/>
      <c r="E205" s="216"/>
      <c r="F205" s="216"/>
      <c r="G205" s="216"/>
      <c r="H205" s="216"/>
      <c r="I205" s="216"/>
      <c r="J205">
        <f t="shared" si="3"/>
        <v>153</v>
      </c>
    </row>
    <row r="206" spans="1:10" x14ac:dyDescent="0.25">
      <c r="A206" s="216"/>
      <c r="B206" s="216"/>
      <c r="C206" s="216"/>
      <c r="D206" s="216"/>
      <c r="E206" s="216"/>
      <c r="F206" s="216"/>
      <c r="G206" s="216"/>
      <c r="H206" s="216"/>
      <c r="I206" s="216"/>
      <c r="J206">
        <f t="shared" si="3"/>
        <v>154</v>
      </c>
    </row>
    <row r="207" spans="1:10" x14ac:dyDescent="0.25">
      <c r="A207" s="216"/>
      <c r="B207" s="216"/>
      <c r="C207" s="216"/>
      <c r="D207" s="216"/>
      <c r="E207" s="216"/>
      <c r="F207" s="216"/>
      <c r="G207" s="216"/>
      <c r="H207" s="216"/>
      <c r="I207" s="216"/>
      <c r="J207">
        <f t="shared" si="3"/>
        <v>155</v>
      </c>
    </row>
    <row r="208" spans="1:10" x14ac:dyDescent="0.25">
      <c r="A208" s="216"/>
      <c r="B208" s="216"/>
      <c r="C208" s="216"/>
      <c r="D208" s="216"/>
      <c r="E208" s="216"/>
      <c r="F208" s="216"/>
      <c r="G208" s="216"/>
      <c r="H208" s="216"/>
      <c r="I208" s="216"/>
      <c r="J208">
        <f t="shared" si="3"/>
        <v>156</v>
      </c>
    </row>
    <row r="209" spans="1:10" x14ac:dyDescent="0.25">
      <c r="A209" s="216"/>
      <c r="B209" s="216"/>
      <c r="C209" s="216"/>
      <c r="D209" s="216"/>
      <c r="E209" s="216"/>
      <c r="F209" s="216"/>
      <c r="G209" s="216"/>
      <c r="H209" s="216"/>
      <c r="I209" s="216"/>
      <c r="J209">
        <f t="shared" si="3"/>
        <v>157</v>
      </c>
    </row>
    <row r="210" spans="1:10" x14ac:dyDescent="0.25">
      <c r="A210" s="216"/>
      <c r="B210" s="216"/>
      <c r="C210" s="216"/>
      <c r="D210" s="216"/>
      <c r="E210" s="216"/>
      <c r="F210" s="216"/>
      <c r="G210" s="216"/>
      <c r="H210" s="216"/>
      <c r="I210" s="216"/>
      <c r="J210">
        <f t="shared" si="3"/>
        <v>158</v>
      </c>
    </row>
    <row r="211" spans="1:10" x14ac:dyDescent="0.25">
      <c r="A211" s="216"/>
      <c r="B211" s="216"/>
      <c r="C211" s="216"/>
      <c r="D211" s="216"/>
      <c r="E211" s="216"/>
      <c r="F211" s="216"/>
      <c r="G211" s="216"/>
      <c r="H211" s="216"/>
      <c r="I211" s="216"/>
      <c r="J211">
        <f t="shared" si="3"/>
        <v>159</v>
      </c>
    </row>
    <row r="212" spans="1:10" x14ac:dyDescent="0.25">
      <c r="A212" s="216"/>
      <c r="B212" s="216"/>
      <c r="C212" s="216"/>
      <c r="D212" s="216"/>
      <c r="E212" s="216"/>
      <c r="F212" s="216"/>
      <c r="G212" s="216"/>
      <c r="H212" s="216"/>
      <c r="I212" s="216"/>
      <c r="J212">
        <f t="shared" si="3"/>
        <v>160</v>
      </c>
    </row>
    <row r="213" spans="1:10" x14ac:dyDescent="0.25">
      <c r="A213" s="216"/>
      <c r="B213" s="216"/>
      <c r="C213" s="216"/>
      <c r="D213" s="216"/>
      <c r="E213" s="216"/>
      <c r="F213" s="216"/>
      <c r="G213" s="216"/>
      <c r="H213" s="216"/>
      <c r="I213" s="216"/>
      <c r="J213">
        <f t="shared" si="3"/>
        <v>161</v>
      </c>
    </row>
    <row r="214" spans="1:10" x14ac:dyDescent="0.25">
      <c r="A214" s="216"/>
      <c r="B214" s="216"/>
      <c r="C214" s="216"/>
      <c r="D214" s="216"/>
      <c r="E214" s="216"/>
      <c r="F214" s="216"/>
      <c r="G214" s="216"/>
      <c r="H214" s="216"/>
      <c r="I214" s="216"/>
      <c r="J214">
        <f t="shared" si="3"/>
        <v>162</v>
      </c>
    </row>
    <row r="215" spans="1:10" x14ac:dyDescent="0.25">
      <c r="A215" s="216"/>
      <c r="B215" s="216"/>
      <c r="C215" s="216"/>
      <c r="D215" s="216"/>
      <c r="E215" s="216"/>
      <c r="F215" s="216"/>
      <c r="G215" s="216"/>
      <c r="H215" s="216"/>
      <c r="I215" s="216"/>
      <c r="J215">
        <f t="shared" si="3"/>
        <v>163</v>
      </c>
    </row>
    <row r="216" spans="1:10" x14ac:dyDescent="0.25">
      <c r="A216" s="216"/>
      <c r="B216" s="216"/>
      <c r="C216" s="216"/>
      <c r="D216" s="216"/>
      <c r="E216" s="216"/>
      <c r="F216" s="216"/>
      <c r="G216" s="216"/>
      <c r="H216" s="216"/>
      <c r="I216" s="216"/>
      <c r="J216">
        <f t="shared" si="3"/>
        <v>164</v>
      </c>
    </row>
    <row r="217" spans="1:10" x14ac:dyDescent="0.25">
      <c r="A217" s="216"/>
      <c r="B217" s="216"/>
      <c r="C217" s="216"/>
      <c r="D217" s="216"/>
      <c r="E217" s="216"/>
      <c r="F217" s="216"/>
      <c r="G217" s="216"/>
      <c r="H217" s="216"/>
      <c r="I217" s="216"/>
      <c r="J217">
        <f t="shared" si="3"/>
        <v>165</v>
      </c>
    </row>
    <row r="218" spans="1:10" x14ac:dyDescent="0.25">
      <c r="A218" s="216"/>
      <c r="B218" s="216"/>
      <c r="C218" s="216"/>
      <c r="D218" s="216"/>
      <c r="E218" s="216"/>
      <c r="F218" s="216"/>
      <c r="G218" s="216"/>
      <c r="H218" s="216"/>
      <c r="I218" s="216"/>
      <c r="J218">
        <f t="shared" si="3"/>
        <v>166</v>
      </c>
    </row>
    <row r="219" spans="1:10" x14ac:dyDescent="0.25">
      <c r="A219" s="216"/>
      <c r="B219" s="216"/>
      <c r="C219" s="216"/>
      <c r="D219" s="216"/>
      <c r="E219" s="216"/>
      <c r="F219" s="216"/>
      <c r="G219" s="216"/>
      <c r="H219" s="216"/>
      <c r="I219" s="216"/>
      <c r="J219">
        <f t="shared" si="3"/>
        <v>167</v>
      </c>
    </row>
    <row r="220" spans="1:10" x14ac:dyDescent="0.25">
      <c r="A220" s="216"/>
      <c r="B220" s="216"/>
      <c r="C220" s="216"/>
      <c r="D220" s="216"/>
      <c r="E220" s="216"/>
      <c r="F220" s="216"/>
      <c r="G220" s="216"/>
      <c r="H220" s="216"/>
      <c r="I220" s="216"/>
      <c r="J220">
        <f t="shared" si="3"/>
        <v>168</v>
      </c>
    </row>
    <row r="221" spans="1:10" x14ac:dyDescent="0.25">
      <c r="A221" s="216"/>
      <c r="B221" s="216"/>
      <c r="C221" s="216"/>
      <c r="D221" s="216"/>
      <c r="E221" s="216"/>
      <c r="F221" s="216"/>
      <c r="G221" s="216"/>
      <c r="H221" s="216"/>
      <c r="I221" s="216"/>
      <c r="J221">
        <f t="shared" si="3"/>
        <v>169</v>
      </c>
    </row>
    <row r="222" spans="1:10" x14ac:dyDescent="0.25">
      <c r="A222" s="216"/>
      <c r="B222" s="216"/>
      <c r="C222" s="216"/>
      <c r="D222" s="216"/>
      <c r="E222" s="216"/>
      <c r="F222" s="216"/>
      <c r="G222" s="216"/>
      <c r="H222" s="216"/>
      <c r="I222" s="216"/>
      <c r="J222">
        <f t="shared" si="3"/>
        <v>170</v>
      </c>
    </row>
    <row r="223" spans="1:10" x14ac:dyDescent="0.25">
      <c r="A223" s="216"/>
      <c r="B223" s="216"/>
      <c r="C223" s="216"/>
      <c r="D223" s="216"/>
      <c r="E223" s="216"/>
      <c r="F223" s="216"/>
      <c r="G223" s="216"/>
      <c r="H223" s="216"/>
      <c r="I223" s="216"/>
      <c r="J223">
        <f t="shared" si="3"/>
        <v>171</v>
      </c>
    </row>
    <row r="224" spans="1:10" x14ac:dyDescent="0.25">
      <c r="A224" s="216"/>
      <c r="B224" s="216"/>
      <c r="C224" s="216"/>
      <c r="D224" s="216"/>
      <c r="E224" s="216"/>
      <c r="F224" s="216"/>
      <c r="G224" s="216"/>
      <c r="H224" s="216"/>
      <c r="I224" s="216"/>
      <c r="J224">
        <f t="shared" si="3"/>
        <v>172</v>
      </c>
    </row>
    <row r="225" spans="1:10" x14ac:dyDescent="0.25">
      <c r="A225" s="216"/>
      <c r="B225" s="216"/>
      <c r="C225" s="216"/>
      <c r="D225" s="216"/>
      <c r="E225" s="216"/>
      <c r="F225" s="216"/>
      <c r="G225" s="216"/>
      <c r="H225" s="216"/>
      <c r="I225" s="216"/>
      <c r="J225">
        <f t="shared" si="3"/>
        <v>173</v>
      </c>
    </row>
    <row r="226" spans="1:10" x14ac:dyDescent="0.25">
      <c r="A226" s="216"/>
      <c r="B226" s="216"/>
      <c r="C226" s="216"/>
      <c r="D226" s="216"/>
      <c r="E226" s="216"/>
      <c r="F226" s="216"/>
      <c r="G226" s="216"/>
      <c r="H226" s="216"/>
      <c r="I226" s="216"/>
      <c r="J226">
        <f t="shared" si="3"/>
        <v>174</v>
      </c>
    </row>
    <row r="227" spans="1:10" x14ac:dyDescent="0.25">
      <c r="A227" s="216"/>
      <c r="B227" s="216"/>
      <c r="C227" s="216"/>
      <c r="D227" s="216"/>
      <c r="E227" s="216"/>
      <c r="F227" s="216"/>
      <c r="G227" s="216"/>
      <c r="H227" s="216"/>
      <c r="I227" s="216"/>
      <c r="J227">
        <f t="shared" si="3"/>
        <v>175</v>
      </c>
    </row>
    <row r="228" spans="1:10" x14ac:dyDescent="0.25">
      <c r="A228" s="216"/>
      <c r="B228" s="216"/>
      <c r="C228" s="216"/>
      <c r="D228" s="216"/>
      <c r="E228" s="216"/>
      <c r="F228" s="216"/>
      <c r="G228" s="216"/>
      <c r="H228" s="216"/>
      <c r="I228" s="216"/>
      <c r="J228">
        <f t="shared" si="3"/>
        <v>176</v>
      </c>
    </row>
    <row r="229" spans="1:10" x14ac:dyDescent="0.25">
      <c r="A229" s="216"/>
      <c r="B229" s="216"/>
      <c r="C229" s="216"/>
      <c r="D229" s="216"/>
      <c r="E229" s="216"/>
      <c r="F229" s="216"/>
      <c r="G229" s="216"/>
      <c r="H229" s="216"/>
      <c r="I229" s="216"/>
      <c r="J229">
        <f t="shared" si="3"/>
        <v>177</v>
      </c>
    </row>
    <row r="230" spans="1:10" x14ac:dyDescent="0.25">
      <c r="A230" s="216"/>
      <c r="B230" s="216"/>
      <c r="C230" s="216"/>
      <c r="D230" s="216"/>
      <c r="E230" s="216"/>
      <c r="F230" s="216"/>
      <c r="G230" s="216"/>
      <c r="H230" s="216"/>
      <c r="I230" s="216"/>
      <c r="J230">
        <f t="shared" si="3"/>
        <v>178</v>
      </c>
    </row>
    <row r="231" spans="1:10" x14ac:dyDescent="0.25">
      <c r="A231" s="216"/>
      <c r="B231" s="216"/>
      <c r="C231" s="216"/>
      <c r="D231" s="216"/>
      <c r="E231" s="216"/>
      <c r="F231" s="216"/>
      <c r="G231" s="216"/>
      <c r="H231" s="216"/>
      <c r="I231" s="216"/>
      <c r="J231">
        <f t="shared" si="3"/>
        <v>179</v>
      </c>
    </row>
    <row r="232" spans="1:10" x14ac:dyDescent="0.25">
      <c r="A232" s="216"/>
      <c r="B232" s="216"/>
      <c r="C232" s="216"/>
      <c r="D232" s="216"/>
      <c r="E232" s="216"/>
      <c r="F232" s="216"/>
      <c r="G232" s="216"/>
      <c r="H232" s="216"/>
      <c r="I232" s="216"/>
      <c r="J232">
        <f t="shared" si="3"/>
        <v>180</v>
      </c>
    </row>
    <row r="233" spans="1:10" x14ac:dyDescent="0.25">
      <c r="A233" s="216"/>
      <c r="B233" s="216"/>
      <c r="C233" s="216"/>
      <c r="D233" s="216"/>
      <c r="E233" s="216"/>
      <c r="F233" s="216"/>
      <c r="G233" s="216"/>
      <c r="H233" s="216"/>
      <c r="I233" s="216"/>
      <c r="J233">
        <f t="shared" si="3"/>
        <v>181</v>
      </c>
    </row>
    <row r="234" spans="1:10" x14ac:dyDescent="0.25">
      <c r="A234" s="216"/>
      <c r="B234" s="216"/>
      <c r="C234" s="216"/>
      <c r="D234" s="216"/>
      <c r="E234" s="216"/>
      <c r="F234" s="216"/>
      <c r="G234" s="216"/>
      <c r="H234" s="216"/>
      <c r="I234" s="216"/>
      <c r="J234">
        <f t="shared" si="3"/>
        <v>182</v>
      </c>
    </row>
    <row r="235" spans="1:10" x14ac:dyDescent="0.25">
      <c r="A235" s="216"/>
      <c r="B235" s="216"/>
      <c r="C235" s="216"/>
      <c r="D235" s="216"/>
      <c r="E235" s="216"/>
      <c r="F235" s="216"/>
      <c r="G235" s="216"/>
      <c r="H235" s="216"/>
      <c r="I235" s="216"/>
      <c r="J235">
        <f t="shared" si="3"/>
        <v>183</v>
      </c>
    </row>
    <row r="236" spans="1:10" x14ac:dyDescent="0.25">
      <c r="A236" s="216"/>
      <c r="B236" s="216"/>
      <c r="C236" s="216"/>
      <c r="D236" s="216"/>
      <c r="E236" s="216"/>
      <c r="F236" s="216"/>
      <c r="G236" s="216"/>
      <c r="H236" s="216"/>
      <c r="I236" s="216"/>
      <c r="J236">
        <f t="shared" si="3"/>
        <v>184</v>
      </c>
    </row>
    <row r="237" spans="1:10" x14ac:dyDescent="0.25">
      <c r="A237" s="216"/>
      <c r="B237" s="216"/>
      <c r="C237" s="216"/>
      <c r="D237" s="216"/>
      <c r="E237" s="216"/>
      <c r="F237" s="216"/>
      <c r="G237" s="216"/>
      <c r="H237" s="216"/>
      <c r="I237" s="216"/>
      <c r="J237">
        <f t="shared" si="3"/>
        <v>185</v>
      </c>
    </row>
    <row r="238" spans="1:10" x14ac:dyDescent="0.25">
      <c r="A238" s="216"/>
      <c r="B238" s="216"/>
      <c r="C238" s="216"/>
      <c r="D238" s="216"/>
      <c r="E238" s="216"/>
      <c r="F238" s="216"/>
      <c r="G238" s="216"/>
      <c r="H238" s="216"/>
      <c r="I238" s="216"/>
      <c r="J238">
        <f t="shared" si="3"/>
        <v>186</v>
      </c>
    </row>
    <row r="239" spans="1:10" x14ac:dyDescent="0.25">
      <c r="A239" s="216"/>
      <c r="B239" s="216"/>
      <c r="C239" s="216"/>
      <c r="D239" s="216"/>
      <c r="E239" s="216"/>
      <c r="F239" s="216"/>
      <c r="G239" s="216"/>
      <c r="H239" s="216"/>
      <c r="I239" s="216"/>
      <c r="J239">
        <f t="shared" si="3"/>
        <v>187</v>
      </c>
    </row>
    <row r="240" spans="1:10" x14ac:dyDescent="0.25">
      <c r="A240" s="216"/>
      <c r="B240" s="216"/>
      <c r="C240" s="216"/>
      <c r="D240" s="216"/>
      <c r="E240" s="216"/>
      <c r="F240" s="216"/>
      <c r="G240" s="216"/>
      <c r="H240" s="216"/>
      <c r="I240" s="216"/>
      <c r="J240">
        <f t="shared" si="3"/>
        <v>188</v>
      </c>
    </row>
    <row r="241" spans="1:10" x14ac:dyDescent="0.25">
      <c r="A241" s="216"/>
      <c r="B241" s="216"/>
      <c r="C241" s="216"/>
      <c r="D241" s="216"/>
      <c r="E241" s="216"/>
      <c r="F241" s="216"/>
      <c r="G241" s="216"/>
      <c r="H241" s="216"/>
      <c r="I241" s="216"/>
      <c r="J241">
        <f t="shared" si="3"/>
        <v>189</v>
      </c>
    </row>
    <row r="242" spans="1:10" x14ac:dyDescent="0.25">
      <c r="A242" s="216"/>
      <c r="B242" s="216"/>
      <c r="C242" s="216"/>
      <c r="D242" s="216"/>
      <c r="E242" s="216"/>
      <c r="F242" s="216"/>
      <c r="G242" s="216"/>
      <c r="H242" s="216"/>
      <c r="I242" s="216"/>
      <c r="J242">
        <f t="shared" si="3"/>
        <v>190</v>
      </c>
    </row>
    <row r="243" spans="1:10" x14ac:dyDescent="0.25">
      <c r="A243" s="216"/>
      <c r="B243" s="216"/>
      <c r="C243" s="216"/>
      <c r="D243" s="216"/>
      <c r="E243" s="216"/>
      <c r="F243" s="216"/>
      <c r="G243" s="216"/>
      <c r="H243" s="216"/>
      <c r="I243" s="216"/>
      <c r="J243">
        <f t="shared" si="3"/>
        <v>191</v>
      </c>
    </row>
    <row r="244" spans="1:10" x14ac:dyDescent="0.25">
      <c r="A244" s="216"/>
      <c r="B244" s="216"/>
      <c r="C244" s="216"/>
      <c r="D244" s="216"/>
      <c r="E244" s="216"/>
      <c r="F244" s="216"/>
      <c r="G244" s="216"/>
      <c r="H244" s="216"/>
      <c r="I244" s="216"/>
      <c r="J244">
        <f t="shared" si="3"/>
        <v>192</v>
      </c>
    </row>
    <row r="245" spans="1:10" x14ac:dyDescent="0.25">
      <c r="A245" s="216"/>
      <c r="B245" s="216"/>
      <c r="C245" s="216"/>
      <c r="D245" s="216"/>
      <c r="E245" s="216"/>
      <c r="F245" s="216"/>
      <c r="G245" s="216"/>
      <c r="H245" s="216"/>
      <c r="I245" s="216"/>
      <c r="J245">
        <f t="shared" si="3"/>
        <v>193</v>
      </c>
    </row>
    <row r="246" spans="1:10" x14ac:dyDescent="0.25">
      <c r="A246" s="216"/>
      <c r="B246" s="216"/>
      <c r="C246" s="216"/>
      <c r="D246" s="216"/>
      <c r="E246" s="216"/>
      <c r="F246" s="216"/>
      <c r="G246" s="216"/>
      <c r="H246" s="216"/>
      <c r="I246" s="216"/>
      <c r="J246">
        <f t="shared" si="3"/>
        <v>194</v>
      </c>
    </row>
    <row r="247" spans="1:10" x14ac:dyDescent="0.25">
      <c r="A247" s="216"/>
      <c r="B247" s="216"/>
      <c r="C247" s="216"/>
      <c r="D247" s="216"/>
      <c r="E247" s="216"/>
      <c r="F247" s="216"/>
      <c r="G247" s="216"/>
      <c r="H247" s="216"/>
      <c r="I247" s="216"/>
      <c r="J247">
        <f t="shared" si="3"/>
        <v>195</v>
      </c>
    </row>
    <row r="248" spans="1:10" x14ac:dyDescent="0.25">
      <c r="A248" s="216"/>
      <c r="B248" s="216"/>
      <c r="C248" s="216"/>
      <c r="D248" s="216"/>
      <c r="E248" s="216"/>
      <c r="F248" s="216"/>
      <c r="G248" s="216"/>
      <c r="H248" s="216"/>
      <c r="I248" s="216"/>
      <c r="J248">
        <f t="shared" si="3"/>
        <v>196</v>
      </c>
    </row>
    <row r="249" spans="1:10" x14ac:dyDescent="0.25">
      <c r="A249" s="216"/>
      <c r="B249" s="216"/>
      <c r="C249" s="216"/>
      <c r="D249" s="216"/>
      <c r="E249" s="216"/>
      <c r="F249" s="216"/>
      <c r="G249" s="216"/>
      <c r="H249" s="216"/>
      <c r="I249" s="216"/>
      <c r="J249">
        <f t="shared" si="3"/>
        <v>197</v>
      </c>
    </row>
    <row r="250" spans="1:10" x14ac:dyDescent="0.25">
      <c r="A250" s="216"/>
      <c r="B250" s="216"/>
      <c r="C250" s="216"/>
      <c r="D250" s="216"/>
      <c r="E250" s="216"/>
      <c r="F250" s="216"/>
      <c r="G250" s="216"/>
      <c r="H250" s="216"/>
      <c r="I250" s="216"/>
      <c r="J250">
        <f t="shared" si="3"/>
        <v>198</v>
      </c>
    </row>
    <row r="251" spans="1:10" x14ac:dyDescent="0.25">
      <c r="A251" s="216"/>
      <c r="B251" s="216"/>
      <c r="C251" s="216"/>
      <c r="D251" s="216"/>
      <c r="E251" s="216"/>
      <c r="F251" s="216"/>
      <c r="G251" s="216"/>
      <c r="H251" s="216"/>
      <c r="I251" s="216"/>
      <c r="J251">
        <f t="shared" si="3"/>
        <v>199</v>
      </c>
    </row>
    <row r="252" spans="1:10" x14ac:dyDescent="0.25">
      <c r="A252" s="216"/>
      <c r="B252" s="216"/>
      <c r="C252" s="216"/>
      <c r="D252" s="216"/>
      <c r="E252" s="216"/>
      <c r="F252" s="216"/>
      <c r="G252" s="216"/>
      <c r="H252" s="216"/>
      <c r="I252" s="216"/>
      <c r="J252">
        <f t="shared" si="3"/>
        <v>200</v>
      </c>
    </row>
    <row r="253" spans="1:10" x14ac:dyDescent="0.25">
      <c r="A253" s="216"/>
      <c r="B253" s="216"/>
      <c r="C253" s="216"/>
      <c r="D253" s="216"/>
      <c r="E253" s="216"/>
      <c r="F253" s="216"/>
      <c r="G253" s="216"/>
      <c r="H253" s="216"/>
      <c r="I253" s="216"/>
      <c r="J253">
        <f t="shared" si="3"/>
        <v>201</v>
      </c>
    </row>
    <row r="254" spans="1:10" x14ac:dyDescent="0.25">
      <c r="A254" s="216"/>
      <c r="B254" s="216"/>
      <c r="C254" s="216"/>
      <c r="D254" s="216"/>
      <c r="E254" s="216"/>
      <c r="F254" s="216"/>
      <c r="G254" s="216"/>
      <c r="H254" s="216"/>
      <c r="I254" s="216"/>
      <c r="J254">
        <f t="shared" si="3"/>
        <v>202</v>
      </c>
    </row>
    <row r="255" spans="1:10" x14ac:dyDescent="0.25">
      <c r="A255" s="216"/>
      <c r="B255" s="216"/>
      <c r="C255" s="216"/>
      <c r="D255" s="216"/>
      <c r="E255" s="216"/>
      <c r="F255" s="216"/>
      <c r="G255" s="216"/>
      <c r="H255" s="216"/>
      <c r="I255" s="216"/>
      <c r="J255">
        <f t="shared" si="3"/>
        <v>203</v>
      </c>
    </row>
    <row r="256" spans="1:10" x14ac:dyDescent="0.25">
      <c r="A256" s="216"/>
      <c r="B256" s="216"/>
      <c r="C256" s="216"/>
      <c r="D256" s="216"/>
      <c r="E256" s="216"/>
      <c r="F256" s="216"/>
      <c r="G256" s="216"/>
      <c r="H256" s="216"/>
      <c r="I256" s="216"/>
      <c r="J256">
        <f t="shared" si="3"/>
        <v>204</v>
      </c>
    </row>
    <row r="257" spans="1:10" x14ac:dyDescent="0.25">
      <c r="A257" s="216"/>
      <c r="B257" s="216"/>
      <c r="C257" s="216"/>
      <c r="D257" s="216"/>
      <c r="E257" s="216"/>
      <c r="F257" s="216"/>
      <c r="G257" s="216"/>
      <c r="H257" s="216"/>
      <c r="I257" s="216"/>
      <c r="J257">
        <f t="shared" si="3"/>
        <v>205</v>
      </c>
    </row>
    <row r="258" spans="1:10" x14ac:dyDescent="0.25">
      <c r="A258" s="216"/>
      <c r="B258" s="216"/>
      <c r="C258" s="216"/>
      <c r="D258" s="216"/>
      <c r="E258" s="216"/>
      <c r="F258" s="216"/>
      <c r="G258" s="216"/>
      <c r="H258" s="216"/>
      <c r="I258" s="216"/>
      <c r="J258">
        <f t="shared" si="3"/>
        <v>206</v>
      </c>
    </row>
    <row r="259" spans="1:10" x14ac:dyDescent="0.25">
      <c r="A259" s="216"/>
      <c r="B259" s="216"/>
      <c r="C259" s="216"/>
      <c r="D259" s="216"/>
      <c r="E259" s="216"/>
      <c r="F259" s="216"/>
      <c r="G259" s="216"/>
      <c r="H259" s="216"/>
      <c r="I259" s="216"/>
      <c r="J259">
        <f t="shared" si="3"/>
        <v>207</v>
      </c>
    </row>
    <row r="260" spans="1:10" x14ac:dyDescent="0.25">
      <c r="A260" s="216"/>
      <c r="B260" s="216"/>
      <c r="C260" s="216"/>
      <c r="D260" s="216"/>
      <c r="E260" s="216"/>
      <c r="F260" s="216"/>
      <c r="G260" s="216"/>
      <c r="H260" s="216"/>
      <c r="I260" s="216"/>
      <c r="J260">
        <f t="shared" ref="J260:J323" si="4">J259+1</f>
        <v>208</v>
      </c>
    </row>
    <row r="261" spans="1:10" x14ac:dyDescent="0.25">
      <c r="A261" s="216"/>
      <c r="B261" s="216"/>
      <c r="C261" s="216"/>
      <c r="D261" s="216"/>
      <c r="E261" s="216"/>
      <c r="F261" s="216"/>
      <c r="G261" s="216"/>
      <c r="H261" s="216"/>
      <c r="I261" s="216"/>
      <c r="J261">
        <f t="shared" si="4"/>
        <v>209</v>
      </c>
    </row>
    <row r="262" spans="1:10" x14ac:dyDescent="0.25">
      <c r="A262" s="216"/>
      <c r="B262" s="216"/>
      <c r="C262" s="216"/>
      <c r="D262" s="216"/>
      <c r="E262" s="216"/>
      <c r="F262" s="216"/>
      <c r="G262" s="216"/>
      <c r="H262" s="216"/>
      <c r="I262" s="216"/>
      <c r="J262">
        <f t="shared" si="4"/>
        <v>210</v>
      </c>
    </row>
    <row r="263" spans="1:10" x14ac:dyDescent="0.25">
      <c r="A263" s="216"/>
      <c r="B263" s="216"/>
      <c r="C263" s="216"/>
      <c r="D263" s="216"/>
      <c r="E263" s="216"/>
      <c r="F263" s="216"/>
      <c r="G263" s="216"/>
      <c r="H263" s="216"/>
      <c r="I263" s="216"/>
      <c r="J263">
        <f t="shared" si="4"/>
        <v>211</v>
      </c>
    </row>
    <row r="264" spans="1:10" x14ac:dyDescent="0.25">
      <c r="A264" s="216"/>
      <c r="B264" s="216"/>
      <c r="C264" s="216"/>
      <c r="D264" s="216"/>
      <c r="E264" s="216"/>
      <c r="F264" s="216"/>
      <c r="G264" s="216"/>
      <c r="H264" s="216"/>
      <c r="I264" s="216"/>
      <c r="J264">
        <f t="shared" si="4"/>
        <v>212</v>
      </c>
    </row>
    <row r="265" spans="1:10" x14ac:dyDescent="0.25">
      <c r="A265" s="216"/>
      <c r="B265" s="216"/>
      <c r="C265" s="216"/>
      <c r="D265" s="216"/>
      <c r="E265" s="216"/>
      <c r="F265" s="216"/>
      <c r="G265" s="216"/>
      <c r="H265" s="216"/>
      <c r="I265" s="216"/>
      <c r="J265">
        <f t="shared" si="4"/>
        <v>213</v>
      </c>
    </row>
    <row r="266" spans="1:10" x14ac:dyDescent="0.25">
      <c r="A266" s="216"/>
      <c r="B266" s="216"/>
      <c r="C266" s="216"/>
      <c r="D266" s="216"/>
      <c r="E266" s="216"/>
      <c r="F266" s="216"/>
      <c r="G266" s="216"/>
      <c r="H266" s="216"/>
      <c r="I266" s="216"/>
      <c r="J266">
        <f t="shared" si="4"/>
        <v>214</v>
      </c>
    </row>
    <row r="267" spans="1:10" x14ac:dyDescent="0.25">
      <c r="A267" s="216"/>
      <c r="B267" s="216"/>
      <c r="C267" s="216"/>
      <c r="D267" s="216"/>
      <c r="E267" s="216"/>
      <c r="F267" s="216"/>
      <c r="G267" s="216"/>
      <c r="H267" s="216"/>
      <c r="I267" s="216"/>
      <c r="J267">
        <f t="shared" si="4"/>
        <v>215</v>
      </c>
    </row>
    <row r="268" spans="1:10" x14ac:dyDescent="0.25">
      <c r="A268" s="216"/>
      <c r="B268" s="216"/>
      <c r="C268" s="216"/>
      <c r="D268" s="216"/>
      <c r="E268" s="216"/>
      <c r="F268" s="216"/>
      <c r="G268" s="216"/>
      <c r="H268" s="216"/>
      <c r="I268" s="216"/>
      <c r="J268">
        <f t="shared" si="4"/>
        <v>216</v>
      </c>
    </row>
    <row r="269" spans="1:10" x14ac:dyDescent="0.25">
      <c r="A269" s="216"/>
      <c r="B269" s="216"/>
      <c r="C269" s="216"/>
      <c r="D269" s="216"/>
      <c r="E269" s="216"/>
      <c r="F269" s="216"/>
      <c r="G269" s="216"/>
      <c r="H269" s="216"/>
      <c r="I269" s="216"/>
      <c r="J269">
        <f t="shared" si="4"/>
        <v>217</v>
      </c>
    </row>
    <row r="270" spans="1:10" x14ac:dyDescent="0.25">
      <c r="A270" s="216"/>
      <c r="B270" s="216"/>
      <c r="C270" s="216"/>
      <c r="D270" s="216"/>
      <c r="E270" s="216"/>
      <c r="F270" s="216"/>
      <c r="G270" s="216"/>
      <c r="H270" s="216"/>
      <c r="I270" s="216"/>
      <c r="J270">
        <f t="shared" si="4"/>
        <v>218</v>
      </c>
    </row>
    <row r="271" spans="1:10" x14ac:dyDescent="0.25">
      <c r="A271" s="216"/>
      <c r="B271" s="216"/>
      <c r="C271" s="216"/>
      <c r="D271" s="216"/>
      <c r="E271" s="216"/>
      <c r="F271" s="216"/>
      <c r="G271" s="216"/>
      <c r="H271" s="216"/>
      <c r="I271" s="216"/>
      <c r="J271">
        <f t="shared" si="4"/>
        <v>219</v>
      </c>
    </row>
    <row r="272" spans="1:10" x14ac:dyDescent="0.25">
      <c r="A272" s="216"/>
      <c r="B272" s="216"/>
      <c r="C272" s="216"/>
      <c r="D272" s="216"/>
      <c r="E272" s="216"/>
      <c r="F272" s="216"/>
      <c r="G272" s="216"/>
      <c r="H272" s="216"/>
      <c r="I272" s="216"/>
      <c r="J272">
        <f t="shared" si="4"/>
        <v>220</v>
      </c>
    </row>
    <row r="273" spans="1:10" x14ac:dyDescent="0.25">
      <c r="A273" s="216"/>
      <c r="B273" s="216"/>
      <c r="C273" s="216"/>
      <c r="D273" s="216"/>
      <c r="E273" s="216"/>
      <c r="F273" s="216"/>
      <c r="G273" s="216"/>
      <c r="H273" s="216"/>
      <c r="I273" s="216"/>
      <c r="J273">
        <f t="shared" si="4"/>
        <v>221</v>
      </c>
    </row>
    <row r="274" spans="1:10" x14ac:dyDescent="0.25">
      <c r="A274" s="216"/>
      <c r="B274" s="216"/>
      <c r="C274" s="216"/>
      <c r="D274" s="216"/>
      <c r="E274" s="216"/>
      <c r="F274" s="216"/>
      <c r="G274" s="216"/>
      <c r="H274" s="216"/>
      <c r="I274" s="216"/>
      <c r="J274">
        <f t="shared" si="4"/>
        <v>222</v>
      </c>
    </row>
    <row r="275" spans="1:10" x14ac:dyDescent="0.25">
      <c r="A275" s="216"/>
      <c r="B275" s="216"/>
      <c r="C275" s="216"/>
      <c r="D275" s="216"/>
      <c r="E275" s="216"/>
      <c r="F275" s="216"/>
      <c r="G275" s="216"/>
      <c r="H275" s="216"/>
      <c r="I275" s="216"/>
      <c r="J275">
        <f t="shared" si="4"/>
        <v>223</v>
      </c>
    </row>
    <row r="276" spans="1:10" x14ac:dyDescent="0.25">
      <c r="A276" s="216"/>
      <c r="B276" s="216"/>
      <c r="C276" s="216"/>
      <c r="D276" s="216"/>
      <c r="E276" s="216"/>
      <c r="F276" s="216"/>
      <c r="G276" s="216"/>
      <c r="H276" s="216"/>
      <c r="I276" s="216"/>
      <c r="J276">
        <f t="shared" si="4"/>
        <v>224</v>
      </c>
    </row>
    <row r="277" spans="1:10" x14ac:dyDescent="0.25">
      <c r="A277" s="216"/>
      <c r="B277" s="216"/>
      <c r="C277" s="216"/>
      <c r="D277" s="216"/>
      <c r="E277" s="216"/>
      <c r="F277" s="216"/>
      <c r="G277" s="216"/>
      <c r="H277" s="216"/>
      <c r="I277" s="216"/>
      <c r="J277">
        <f t="shared" si="4"/>
        <v>225</v>
      </c>
    </row>
    <row r="278" spans="1:10" x14ac:dyDescent="0.25">
      <c r="A278" s="216"/>
      <c r="B278" s="216"/>
      <c r="C278" s="216"/>
      <c r="D278" s="216"/>
      <c r="E278" s="216"/>
      <c r="F278" s="216"/>
      <c r="G278" s="216"/>
      <c r="H278" s="216"/>
      <c r="I278" s="216"/>
      <c r="J278">
        <f t="shared" si="4"/>
        <v>226</v>
      </c>
    </row>
    <row r="279" spans="1:10" x14ac:dyDescent="0.25">
      <c r="A279" s="216"/>
      <c r="B279" s="216"/>
      <c r="C279" s="216"/>
      <c r="D279" s="216"/>
      <c r="E279" s="216"/>
      <c r="F279" s="216"/>
      <c r="G279" s="216"/>
      <c r="H279" s="216"/>
      <c r="I279" s="216"/>
      <c r="J279">
        <f t="shared" si="4"/>
        <v>227</v>
      </c>
    </row>
    <row r="280" spans="1:10" x14ac:dyDescent="0.25">
      <c r="A280" s="216"/>
      <c r="B280" s="216"/>
      <c r="C280" s="216"/>
      <c r="D280" s="216"/>
      <c r="E280" s="216"/>
      <c r="F280" s="216"/>
      <c r="G280" s="216"/>
      <c r="H280" s="216"/>
      <c r="I280" s="216"/>
      <c r="J280">
        <f t="shared" si="4"/>
        <v>228</v>
      </c>
    </row>
    <row r="281" spans="1:10" x14ac:dyDescent="0.25">
      <c r="A281" s="216"/>
      <c r="B281" s="216"/>
      <c r="C281" s="216"/>
      <c r="D281" s="216"/>
      <c r="E281" s="216"/>
      <c r="F281" s="216"/>
      <c r="G281" s="216"/>
      <c r="H281" s="216"/>
      <c r="I281" s="216"/>
      <c r="J281">
        <f t="shared" si="4"/>
        <v>229</v>
      </c>
    </row>
    <row r="282" spans="1:10" x14ac:dyDescent="0.25">
      <c r="A282" s="216"/>
      <c r="B282" s="216"/>
      <c r="C282" s="216"/>
      <c r="D282" s="216"/>
      <c r="E282" s="216"/>
      <c r="F282" s="216"/>
      <c r="G282" s="216"/>
      <c r="H282" s="216"/>
      <c r="I282" s="216"/>
      <c r="J282">
        <f t="shared" si="4"/>
        <v>230</v>
      </c>
    </row>
    <row r="283" spans="1:10" x14ac:dyDescent="0.25">
      <c r="A283" s="216"/>
      <c r="B283" s="216"/>
      <c r="C283" s="216"/>
      <c r="D283" s="216"/>
      <c r="E283" s="216"/>
      <c r="F283" s="216"/>
      <c r="G283" s="216"/>
      <c r="H283" s="216"/>
      <c r="I283" s="216"/>
      <c r="J283">
        <f t="shared" si="4"/>
        <v>231</v>
      </c>
    </row>
    <row r="284" spans="1:10" x14ac:dyDescent="0.25">
      <c r="A284" s="216"/>
      <c r="B284" s="216"/>
      <c r="C284" s="216"/>
      <c r="D284" s="216"/>
      <c r="E284" s="216"/>
      <c r="F284" s="216"/>
      <c r="G284" s="216"/>
      <c r="H284" s="216"/>
      <c r="I284" s="216"/>
      <c r="J284">
        <f t="shared" si="4"/>
        <v>232</v>
      </c>
    </row>
    <row r="285" spans="1:10" x14ac:dyDescent="0.25">
      <c r="A285" s="216"/>
      <c r="B285" s="216"/>
      <c r="C285" s="216"/>
      <c r="D285" s="216"/>
      <c r="E285" s="216"/>
      <c r="F285" s="216"/>
      <c r="G285" s="216"/>
      <c r="H285" s="216"/>
      <c r="I285" s="216"/>
      <c r="J285">
        <f t="shared" si="4"/>
        <v>233</v>
      </c>
    </row>
    <row r="286" spans="1:10" x14ac:dyDescent="0.25">
      <c r="A286" s="216"/>
      <c r="B286" s="216"/>
      <c r="C286" s="216"/>
      <c r="D286" s="216"/>
      <c r="E286" s="216"/>
      <c r="F286" s="216"/>
      <c r="G286" s="216"/>
      <c r="H286" s="216"/>
      <c r="I286" s="216"/>
      <c r="J286">
        <f t="shared" si="4"/>
        <v>234</v>
      </c>
    </row>
    <row r="287" spans="1:10" x14ac:dyDescent="0.25">
      <c r="A287" s="216"/>
      <c r="B287" s="216"/>
      <c r="C287" s="216"/>
      <c r="D287" s="216"/>
      <c r="E287" s="216"/>
      <c r="F287" s="216"/>
      <c r="G287" s="216"/>
      <c r="H287" s="216"/>
      <c r="I287" s="216"/>
      <c r="J287">
        <f t="shared" si="4"/>
        <v>235</v>
      </c>
    </row>
    <row r="288" spans="1:10" x14ac:dyDescent="0.25">
      <c r="A288" s="216"/>
      <c r="B288" s="216"/>
      <c r="C288" s="216"/>
      <c r="D288" s="216"/>
      <c r="E288" s="216"/>
      <c r="F288" s="216"/>
      <c r="G288" s="216"/>
      <c r="H288" s="216"/>
      <c r="I288" s="216"/>
      <c r="J288">
        <f t="shared" si="4"/>
        <v>236</v>
      </c>
    </row>
    <row r="289" spans="1:10" x14ac:dyDescent="0.25">
      <c r="A289" s="216"/>
      <c r="B289" s="216"/>
      <c r="C289" s="216"/>
      <c r="D289" s="216"/>
      <c r="E289" s="216"/>
      <c r="F289" s="216"/>
      <c r="G289" s="216"/>
      <c r="H289" s="216"/>
      <c r="I289" s="216"/>
      <c r="J289">
        <f t="shared" si="4"/>
        <v>237</v>
      </c>
    </row>
    <row r="290" spans="1:10" x14ac:dyDescent="0.25">
      <c r="A290" s="216"/>
      <c r="B290" s="216"/>
      <c r="C290" s="216"/>
      <c r="D290" s="216"/>
      <c r="E290" s="216"/>
      <c r="F290" s="216"/>
      <c r="G290" s="216"/>
      <c r="H290" s="216"/>
      <c r="I290" s="216"/>
      <c r="J290">
        <f t="shared" si="4"/>
        <v>238</v>
      </c>
    </row>
    <row r="291" spans="1:10" x14ac:dyDescent="0.25">
      <c r="A291" s="216"/>
      <c r="B291" s="216"/>
      <c r="C291" s="216"/>
      <c r="D291" s="216"/>
      <c r="E291" s="216"/>
      <c r="F291" s="216"/>
      <c r="G291" s="216"/>
      <c r="H291" s="216"/>
      <c r="I291" s="216"/>
      <c r="J291">
        <f t="shared" si="4"/>
        <v>239</v>
      </c>
    </row>
    <row r="292" spans="1:10" x14ac:dyDescent="0.25">
      <c r="A292" s="216"/>
      <c r="B292" s="216"/>
      <c r="C292" s="216"/>
      <c r="D292" s="216"/>
      <c r="E292" s="216"/>
      <c r="F292" s="216"/>
      <c r="G292" s="216"/>
      <c r="H292" s="216"/>
      <c r="I292" s="216"/>
      <c r="J292">
        <f t="shared" si="4"/>
        <v>240</v>
      </c>
    </row>
    <row r="293" spans="1:10" x14ac:dyDescent="0.25">
      <c r="A293" s="216"/>
      <c r="B293" s="216"/>
      <c r="C293" s="216"/>
      <c r="D293" s="216"/>
      <c r="E293" s="216"/>
      <c r="F293" s="216"/>
      <c r="G293" s="216"/>
      <c r="H293" s="216"/>
      <c r="I293" s="216"/>
      <c r="J293">
        <f t="shared" si="4"/>
        <v>241</v>
      </c>
    </row>
    <row r="294" spans="1:10" x14ac:dyDescent="0.25">
      <c r="A294" s="216"/>
      <c r="B294" s="216"/>
      <c r="C294" s="216"/>
      <c r="D294" s="216"/>
      <c r="E294" s="216"/>
      <c r="F294" s="216"/>
      <c r="G294" s="216"/>
      <c r="H294" s="216"/>
      <c r="I294" s="216"/>
      <c r="J294">
        <f t="shared" si="4"/>
        <v>242</v>
      </c>
    </row>
    <row r="295" spans="1:10" x14ac:dyDescent="0.25">
      <c r="A295" s="216"/>
      <c r="B295" s="216"/>
      <c r="C295" s="216"/>
      <c r="D295" s="216"/>
      <c r="E295" s="216"/>
      <c r="F295" s="216"/>
      <c r="G295" s="216"/>
      <c r="H295" s="216"/>
      <c r="I295" s="216"/>
      <c r="J295">
        <f t="shared" si="4"/>
        <v>243</v>
      </c>
    </row>
    <row r="296" spans="1:10" x14ac:dyDescent="0.25">
      <c r="A296" s="216"/>
      <c r="B296" s="216"/>
      <c r="C296" s="216"/>
      <c r="D296" s="216"/>
      <c r="E296" s="216"/>
      <c r="F296" s="216"/>
      <c r="G296" s="216"/>
      <c r="H296" s="216"/>
      <c r="I296" s="216"/>
      <c r="J296">
        <f t="shared" si="4"/>
        <v>244</v>
      </c>
    </row>
    <row r="297" spans="1:10" x14ac:dyDescent="0.25">
      <c r="A297" s="216"/>
      <c r="B297" s="216"/>
      <c r="C297" s="216"/>
      <c r="D297" s="216"/>
      <c r="E297" s="216"/>
      <c r="F297" s="216"/>
      <c r="G297" s="216"/>
      <c r="H297" s="216"/>
      <c r="I297" s="216"/>
      <c r="J297">
        <f t="shared" si="4"/>
        <v>245</v>
      </c>
    </row>
    <row r="298" spans="1:10" x14ac:dyDescent="0.25">
      <c r="A298" s="216"/>
      <c r="B298" s="216"/>
      <c r="C298" s="216"/>
      <c r="D298" s="216"/>
      <c r="E298" s="216"/>
      <c r="F298" s="216"/>
      <c r="G298" s="216"/>
      <c r="H298" s="216"/>
      <c r="I298" s="216"/>
      <c r="J298">
        <f t="shared" si="4"/>
        <v>246</v>
      </c>
    </row>
    <row r="299" spans="1:10" x14ac:dyDescent="0.25">
      <c r="A299" s="216"/>
      <c r="B299" s="216"/>
      <c r="C299" s="216"/>
      <c r="D299" s="216"/>
      <c r="E299" s="216"/>
      <c r="F299" s="216"/>
      <c r="G299" s="216"/>
      <c r="H299" s="216"/>
      <c r="I299" s="216"/>
      <c r="J299">
        <f t="shared" si="4"/>
        <v>247</v>
      </c>
    </row>
    <row r="300" spans="1:10" x14ac:dyDescent="0.25">
      <c r="A300" s="216"/>
      <c r="B300" s="216"/>
      <c r="C300" s="216"/>
      <c r="D300" s="216"/>
      <c r="E300" s="216"/>
      <c r="F300" s="216"/>
      <c r="G300" s="216"/>
      <c r="H300" s="216"/>
      <c r="I300" s="216"/>
      <c r="J300">
        <f t="shared" si="4"/>
        <v>248</v>
      </c>
    </row>
    <row r="301" spans="1:10" x14ac:dyDescent="0.25">
      <c r="A301" s="216"/>
      <c r="B301" s="216"/>
      <c r="C301" s="216"/>
      <c r="D301" s="216"/>
      <c r="E301" s="216"/>
      <c r="F301" s="216"/>
      <c r="G301" s="216"/>
      <c r="H301" s="216"/>
      <c r="I301" s="216"/>
      <c r="J301">
        <f t="shared" si="4"/>
        <v>249</v>
      </c>
    </row>
    <row r="302" spans="1:10" x14ac:dyDescent="0.25">
      <c r="A302" s="216"/>
      <c r="B302" s="216"/>
      <c r="C302" s="216"/>
      <c r="D302" s="216"/>
      <c r="E302" s="216"/>
      <c r="F302" s="216"/>
      <c r="G302" s="216"/>
      <c r="H302" s="216"/>
      <c r="I302" s="216"/>
      <c r="J302">
        <f t="shared" si="4"/>
        <v>250</v>
      </c>
    </row>
    <row r="303" spans="1:10" x14ac:dyDescent="0.25">
      <c r="A303" s="216"/>
      <c r="B303" s="216"/>
      <c r="C303" s="216"/>
      <c r="D303" s="216"/>
      <c r="E303" s="216"/>
      <c r="F303" s="216"/>
      <c r="G303" s="216"/>
      <c r="H303" s="216"/>
      <c r="I303" s="216"/>
      <c r="J303">
        <f t="shared" si="4"/>
        <v>251</v>
      </c>
    </row>
    <row r="304" spans="1:10" x14ac:dyDescent="0.25">
      <c r="A304" s="216"/>
      <c r="B304" s="216"/>
      <c r="C304" s="216"/>
      <c r="D304" s="216"/>
      <c r="E304" s="216"/>
      <c r="F304" s="216"/>
      <c r="G304" s="216"/>
      <c r="H304" s="216"/>
      <c r="I304" s="216"/>
      <c r="J304">
        <f t="shared" si="4"/>
        <v>252</v>
      </c>
    </row>
    <row r="305" spans="1:10" x14ac:dyDescent="0.25">
      <c r="A305" s="216"/>
      <c r="B305" s="216"/>
      <c r="C305" s="216"/>
      <c r="D305" s="216"/>
      <c r="E305" s="216"/>
      <c r="F305" s="216"/>
      <c r="G305" s="216"/>
      <c r="H305" s="216"/>
      <c r="I305" s="216"/>
      <c r="J305">
        <f t="shared" si="4"/>
        <v>253</v>
      </c>
    </row>
    <row r="306" spans="1:10" x14ac:dyDescent="0.25">
      <c r="A306" s="216"/>
      <c r="B306" s="216"/>
      <c r="C306" s="216"/>
      <c r="D306" s="216"/>
      <c r="E306" s="216"/>
      <c r="F306" s="216"/>
      <c r="G306" s="216"/>
      <c r="H306" s="216"/>
      <c r="I306" s="216"/>
      <c r="J306">
        <f t="shared" si="4"/>
        <v>254</v>
      </c>
    </row>
    <row r="307" spans="1:10" x14ac:dyDescent="0.25">
      <c r="A307" s="216"/>
      <c r="B307" s="216"/>
      <c r="C307" s="216"/>
      <c r="D307" s="216"/>
      <c r="E307" s="216"/>
      <c r="F307" s="216"/>
      <c r="G307" s="216"/>
      <c r="H307" s="216"/>
      <c r="I307" s="216"/>
      <c r="J307">
        <f t="shared" si="4"/>
        <v>255</v>
      </c>
    </row>
    <row r="308" spans="1:10" x14ac:dyDescent="0.25">
      <c r="A308" s="216"/>
      <c r="B308" s="216"/>
      <c r="C308" s="216"/>
      <c r="D308" s="216"/>
      <c r="E308" s="216"/>
      <c r="F308" s="216"/>
      <c r="G308" s="216"/>
      <c r="H308" s="216"/>
      <c r="I308" s="216"/>
      <c r="J308">
        <f t="shared" si="4"/>
        <v>256</v>
      </c>
    </row>
    <row r="309" spans="1:10" x14ac:dyDescent="0.25">
      <c r="A309" s="216"/>
      <c r="B309" s="216"/>
      <c r="C309" s="216"/>
      <c r="D309" s="216"/>
      <c r="E309" s="216"/>
      <c r="F309" s="216"/>
      <c r="G309" s="216"/>
      <c r="H309" s="216"/>
      <c r="I309" s="216"/>
      <c r="J309">
        <f t="shared" si="4"/>
        <v>257</v>
      </c>
    </row>
    <row r="310" spans="1:10" x14ac:dyDescent="0.25">
      <c r="A310" s="216"/>
      <c r="B310" s="216"/>
      <c r="C310" s="216"/>
      <c r="D310" s="216"/>
      <c r="E310" s="216"/>
      <c r="F310" s="216"/>
      <c r="G310" s="216"/>
      <c r="H310" s="216"/>
      <c r="I310" s="216"/>
      <c r="J310">
        <f t="shared" si="4"/>
        <v>258</v>
      </c>
    </row>
    <row r="311" spans="1:10" x14ac:dyDescent="0.25">
      <c r="A311" s="216"/>
      <c r="B311" s="216"/>
      <c r="C311" s="216"/>
      <c r="D311" s="216"/>
      <c r="E311" s="216"/>
      <c r="F311" s="216"/>
      <c r="G311" s="216"/>
      <c r="H311" s="216"/>
      <c r="I311" s="216"/>
      <c r="J311">
        <f t="shared" si="4"/>
        <v>259</v>
      </c>
    </row>
    <row r="312" spans="1:10" x14ac:dyDescent="0.25">
      <c r="A312" s="216"/>
      <c r="B312" s="216"/>
      <c r="C312" s="216"/>
      <c r="D312" s="216"/>
      <c r="E312" s="216"/>
      <c r="F312" s="216"/>
      <c r="G312" s="216"/>
      <c r="H312" s="216"/>
      <c r="I312" s="216"/>
      <c r="J312">
        <f t="shared" si="4"/>
        <v>260</v>
      </c>
    </row>
    <row r="313" spans="1:10" x14ac:dyDescent="0.25">
      <c r="A313" s="216"/>
      <c r="B313" s="216"/>
      <c r="C313" s="216"/>
      <c r="D313" s="216"/>
      <c r="E313" s="216"/>
      <c r="F313" s="216"/>
      <c r="G313" s="216"/>
      <c r="H313" s="216"/>
      <c r="I313" s="216"/>
      <c r="J313">
        <f t="shared" si="4"/>
        <v>261</v>
      </c>
    </row>
    <row r="314" spans="1:10" x14ac:dyDescent="0.25">
      <c r="A314" s="216"/>
      <c r="B314" s="216"/>
      <c r="C314" s="216"/>
      <c r="D314" s="216"/>
      <c r="E314" s="216"/>
      <c r="F314" s="216"/>
      <c r="G314" s="216"/>
      <c r="H314" s="216"/>
      <c r="I314" s="216"/>
      <c r="J314">
        <f t="shared" si="4"/>
        <v>262</v>
      </c>
    </row>
    <row r="315" spans="1:10" x14ac:dyDescent="0.25">
      <c r="A315" s="216"/>
      <c r="B315" s="216"/>
      <c r="C315" s="216"/>
      <c r="D315" s="216"/>
      <c r="E315" s="216"/>
      <c r="F315" s="216"/>
      <c r="G315" s="216"/>
      <c r="H315" s="216"/>
      <c r="I315" s="216"/>
      <c r="J315">
        <f t="shared" si="4"/>
        <v>263</v>
      </c>
    </row>
    <row r="316" spans="1:10" x14ac:dyDescent="0.25">
      <c r="A316" s="216"/>
      <c r="B316" s="216"/>
      <c r="C316" s="216"/>
      <c r="D316" s="216"/>
      <c r="E316" s="216"/>
      <c r="F316" s="216"/>
      <c r="G316" s="216"/>
      <c r="H316" s="216"/>
      <c r="I316" s="216"/>
      <c r="J316">
        <f t="shared" si="4"/>
        <v>264</v>
      </c>
    </row>
    <row r="317" spans="1:10" x14ac:dyDescent="0.25">
      <c r="A317" s="216"/>
      <c r="B317" s="216"/>
      <c r="C317" s="216"/>
      <c r="D317" s="216"/>
      <c r="E317" s="216"/>
      <c r="F317" s="216"/>
      <c r="G317" s="216"/>
      <c r="H317" s="216"/>
      <c r="I317" s="216"/>
      <c r="J317">
        <f t="shared" si="4"/>
        <v>265</v>
      </c>
    </row>
    <row r="318" spans="1:10" x14ac:dyDescent="0.25">
      <c r="A318" s="216"/>
      <c r="B318" s="216"/>
      <c r="C318" s="216"/>
      <c r="D318" s="216"/>
      <c r="E318" s="216"/>
      <c r="F318" s="216"/>
      <c r="G318" s="216"/>
      <c r="H318" s="216"/>
      <c r="I318" s="216"/>
      <c r="J318">
        <f t="shared" si="4"/>
        <v>266</v>
      </c>
    </row>
    <row r="319" spans="1:10" x14ac:dyDescent="0.25">
      <c r="A319" s="216"/>
      <c r="B319" s="216"/>
      <c r="C319" s="216"/>
      <c r="D319" s="216"/>
      <c r="E319" s="216"/>
      <c r="F319" s="216"/>
      <c r="G319" s="216"/>
      <c r="H319" s="216"/>
      <c r="I319" s="216"/>
      <c r="J319">
        <f t="shared" si="4"/>
        <v>267</v>
      </c>
    </row>
    <row r="320" spans="1:10" x14ac:dyDescent="0.25">
      <c r="A320" s="216"/>
      <c r="B320" s="216"/>
      <c r="C320" s="216"/>
      <c r="D320" s="216"/>
      <c r="E320" s="216"/>
      <c r="F320" s="216"/>
      <c r="G320" s="216"/>
      <c r="H320" s="216"/>
      <c r="I320" s="216"/>
      <c r="J320">
        <f t="shared" si="4"/>
        <v>268</v>
      </c>
    </row>
    <row r="321" spans="1:10" x14ac:dyDescent="0.25">
      <c r="A321" s="216"/>
      <c r="B321" s="216"/>
      <c r="C321" s="216"/>
      <c r="D321" s="216"/>
      <c r="E321" s="216"/>
      <c r="F321" s="216"/>
      <c r="G321" s="216"/>
      <c r="H321" s="216"/>
      <c r="I321" s="216"/>
      <c r="J321">
        <f t="shared" si="4"/>
        <v>269</v>
      </c>
    </row>
    <row r="322" spans="1:10" x14ac:dyDescent="0.25">
      <c r="A322" s="216"/>
      <c r="B322" s="216"/>
      <c r="C322" s="216"/>
      <c r="D322" s="216"/>
      <c r="E322" s="216"/>
      <c r="F322" s="216"/>
      <c r="G322" s="216"/>
      <c r="H322" s="216"/>
      <c r="I322" s="216"/>
      <c r="J322">
        <f t="shared" si="4"/>
        <v>270</v>
      </c>
    </row>
    <row r="323" spans="1:10" x14ac:dyDescent="0.25">
      <c r="A323" s="216"/>
      <c r="B323" s="216"/>
      <c r="C323" s="216"/>
      <c r="D323" s="216"/>
      <c r="E323" s="216"/>
      <c r="F323" s="216"/>
      <c r="G323" s="216"/>
      <c r="H323" s="216"/>
      <c r="I323" s="216"/>
      <c r="J323">
        <f t="shared" si="4"/>
        <v>271</v>
      </c>
    </row>
    <row r="324" spans="1:10" x14ac:dyDescent="0.25">
      <c r="A324" s="216"/>
      <c r="B324" s="216"/>
      <c r="C324" s="216"/>
      <c r="D324" s="216"/>
      <c r="E324" s="216"/>
      <c r="F324" s="216"/>
      <c r="G324" s="216"/>
      <c r="H324" s="216"/>
      <c r="I324" s="216"/>
      <c r="J324">
        <f t="shared" ref="J324:J351" si="5">J323+1</f>
        <v>272</v>
      </c>
    </row>
    <row r="325" spans="1:10" x14ac:dyDescent="0.25">
      <c r="A325" s="216"/>
      <c r="B325" s="216"/>
      <c r="C325" s="216"/>
      <c r="D325" s="216"/>
      <c r="E325" s="216"/>
      <c r="F325" s="216"/>
      <c r="G325" s="216"/>
      <c r="H325" s="216"/>
      <c r="I325" s="216"/>
      <c r="J325">
        <f t="shared" si="5"/>
        <v>273</v>
      </c>
    </row>
    <row r="326" spans="1:10" x14ac:dyDescent="0.25">
      <c r="A326" s="216"/>
      <c r="B326" s="216"/>
      <c r="C326" s="216"/>
      <c r="D326" s="216"/>
      <c r="E326" s="216"/>
      <c r="F326" s="216"/>
      <c r="G326" s="216"/>
      <c r="H326" s="216"/>
      <c r="I326" s="216"/>
      <c r="J326">
        <f t="shared" si="5"/>
        <v>274</v>
      </c>
    </row>
    <row r="327" spans="1:10" x14ac:dyDescent="0.25">
      <c r="A327" s="216"/>
      <c r="B327" s="216"/>
      <c r="C327" s="216"/>
      <c r="D327" s="216"/>
      <c r="E327" s="216"/>
      <c r="F327" s="216"/>
      <c r="G327" s="216"/>
      <c r="H327" s="216"/>
      <c r="I327" s="216"/>
      <c r="J327">
        <f t="shared" si="5"/>
        <v>275</v>
      </c>
    </row>
    <row r="328" spans="1:10" x14ac:dyDescent="0.25">
      <c r="A328" s="216"/>
      <c r="B328" s="216"/>
      <c r="C328" s="216"/>
      <c r="D328" s="216"/>
      <c r="E328" s="216"/>
      <c r="F328" s="216"/>
      <c r="G328" s="216"/>
      <c r="H328" s="216"/>
      <c r="I328" s="216"/>
      <c r="J328">
        <f t="shared" si="5"/>
        <v>276</v>
      </c>
    </row>
    <row r="329" spans="1:10" x14ac:dyDescent="0.25">
      <c r="A329" s="216"/>
      <c r="B329" s="216"/>
      <c r="C329" s="216"/>
      <c r="D329" s="216"/>
      <c r="E329" s="216"/>
      <c r="F329" s="216"/>
      <c r="G329" s="216"/>
      <c r="H329" s="216"/>
      <c r="I329" s="216"/>
      <c r="J329">
        <f t="shared" si="5"/>
        <v>277</v>
      </c>
    </row>
    <row r="330" spans="1:10" x14ac:dyDescent="0.25">
      <c r="A330" s="216"/>
      <c r="B330" s="216"/>
      <c r="C330" s="216"/>
      <c r="D330" s="216"/>
      <c r="E330" s="216"/>
      <c r="F330" s="216"/>
      <c r="G330" s="216"/>
      <c r="H330" s="216"/>
      <c r="I330" s="216"/>
      <c r="J330">
        <f t="shared" si="5"/>
        <v>278</v>
      </c>
    </row>
    <row r="331" spans="1:10" x14ac:dyDescent="0.25">
      <c r="A331" s="216"/>
      <c r="B331" s="216"/>
      <c r="C331" s="216"/>
      <c r="D331" s="216"/>
      <c r="E331" s="216"/>
      <c r="F331" s="216"/>
      <c r="G331" s="216"/>
      <c r="H331" s="216"/>
      <c r="I331" s="216"/>
      <c r="J331">
        <f t="shared" si="5"/>
        <v>279</v>
      </c>
    </row>
    <row r="332" spans="1:10" x14ac:dyDescent="0.25">
      <c r="A332" s="216"/>
      <c r="B332" s="216"/>
      <c r="C332" s="216"/>
      <c r="D332" s="216"/>
      <c r="E332" s="216"/>
      <c r="F332" s="216"/>
      <c r="G332" s="216"/>
      <c r="H332" s="216"/>
      <c r="I332" s="216"/>
      <c r="J332">
        <f t="shared" si="5"/>
        <v>280</v>
      </c>
    </row>
    <row r="333" spans="1:10" x14ac:dyDescent="0.25">
      <c r="A333" s="216"/>
      <c r="B333" s="216"/>
      <c r="C333" s="216"/>
      <c r="D333" s="216"/>
      <c r="E333" s="216"/>
      <c r="F333" s="216"/>
      <c r="G333" s="216"/>
      <c r="H333" s="216"/>
      <c r="I333" s="216"/>
      <c r="J333">
        <f t="shared" si="5"/>
        <v>281</v>
      </c>
    </row>
    <row r="334" spans="1:10" x14ac:dyDescent="0.25">
      <c r="A334" s="216"/>
      <c r="B334" s="216"/>
      <c r="C334" s="216"/>
      <c r="D334" s="216"/>
      <c r="E334" s="216"/>
      <c r="F334" s="216"/>
      <c r="G334" s="216"/>
      <c r="H334" s="216"/>
      <c r="I334" s="216"/>
      <c r="J334">
        <f t="shared" si="5"/>
        <v>282</v>
      </c>
    </row>
    <row r="335" spans="1:10" x14ac:dyDescent="0.25">
      <c r="A335" s="216"/>
      <c r="B335" s="216"/>
      <c r="C335" s="216"/>
      <c r="D335" s="216"/>
      <c r="E335" s="216"/>
      <c r="F335" s="216"/>
      <c r="G335" s="216"/>
      <c r="H335" s="216"/>
      <c r="I335" s="216"/>
      <c r="J335">
        <f t="shared" si="5"/>
        <v>283</v>
      </c>
    </row>
    <row r="336" spans="1:10" x14ac:dyDescent="0.25">
      <c r="A336" s="216"/>
      <c r="B336" s="216"/>
      <c r="C336" s="216"/>
      <c r="D336" s="216"/>
      <c r="E336" s="216"/>
      <c r="F336" s="216"/>
      <c r="G336" s="216"/>
      <c r="H336" s="216"/>
      <c r="I336" s="216"/>
      <c r="J336">
        <f t="shared" si="5"/>
        <v>284</v>
      </c>
    </row>
    <row r="337" spans="1:10" x14ac:dyDescent="0.25">
      <c r="A337" s="216"/>
      <c r="B337" s="216"/>
      <c r="C337" s="216"/>
      <c r="D337" s="216"/>
      <c r="E337" s="216"/>
      <c r="F337" s="216"/>
      <c r="G337" s="216"/>
      <c r="H337" s="216"/>
      <c r="I337" s="216"/>
      <c r="J337">
        <f t="shared" si="5"/>
        <v>285</v>
      </c>
    </row>
    <row r="338" spans="1:10" x14ac:dyDescent="0.25">
      <c r="A338" s="216"/>
      <c r="B338" s="216"/>
      <c r="C338" s="216"/>
      <c r="D338" s="216"/>
      <c r="E338" s="216"/>
      <c r="F338" s="216"/>
      <c r="G338" s="216"/>
      <c r="H338" s="216"/>
      <c r="I338" s="216"/>
      <c r="J338">
        <f t="shared" si="5"/>
        <v>286</v>
      </c>
    </row>
    <row r="339" spans="1:10" x14ac:dyDescent="0.25">
      <c r="A339" s="216"/>
      <c r="B339" s="216"/>
      <c r="C339" s="216"/>
      <c r="D339" s="216"/>
      <c r="E339" s="216"/>
      <c r="F339" s="216"/>
      <c r="G339" s="216"/>
      <c r="H339" s="216"/>
      <c r="I339" s="216"/>
      <c r="J339">
        <f t="shared" si="5"/>
        <v>287</v>
      </c>
    </row>
    <row r="340" spans="1:10" x14ac:dyDescent="0.25">
      <c r="A340" s="216"/>
      <c r="B340" s="216"/>
      <c r="C340" s="216"/>
      <c r="D340" s="216"/>
      <c r="E340" s="216"/>
      <c r="F340" s="216"/>
      <c r="G340" s="216"/>
      <c r="H340" s="216"/>
      <c r="I340" s="216"/>
      <c r="J340">
        <f t="shared" si="5"/>
        <v>288</v>
      </c>
    </row>
    <row r="341" spans="1:10" x14ac:dyDescent="0.25">
      <c r="A341" s="216"/>
      <c r="B341" s="216"/>
      <c r="C341" s="216"/>
      <c r="D341" s="216"/>
      <c r="E341" s="216"/>
      <c r="F341" s="216"/>
      <c r="G341" s="216"/>
      <c r="H341" s="216"/>
      <c r="I341" s="216"/>
      <c r="J341">
        <f t="shared" si="5"/>
        <v>289</v>
      </c>
    </row>
    <row r="342" spans="1:10" x14ac:dyDescent="0.25">
      <c r="A342" s="216"/>
      <c r="B342" s="216"/>
      <c r="C342" s="216"/>
      <c r="D342" s="216"/>
      <c r="E342" s="216"/>
      <c r="F342" s="216"/>
      <c r="G342" s="216"/>
      <c r="H342" s="216"/>
      <c r="I342" s="216"/>
      <c r="J342">
        <f t="shared" si="5"/>
        <v>290</v>
      </c>
    </row>
    <row r="343" spans="1:10" x14ac:dyDescent="0.25">
      <c r="A343" s="216"/>
      <c r="B343" s="216"/>
      <c r="C343" s="216"/>
      <c r="D343" s="216"/>
      <c r="E343" s="216"/>
      <c r="F343" s="216"/>
      <c r="G343" s="216"/>
      <c r="H343" s="216"/>
      <c r="I343" s="216"/>
      <c r="J343">
        <f t="shared" si="5"/>
        <v>291</v>
      </c>
    </row>
    <row r="344" spans="1:10" x14ac:dyDescent="0.25">
      <c r="A344" s="216"/>
      <c r="B344" s="216"/>
      <c r="C344" s="216"/>
      <c r="D344" s="216"/>
      <c r="E344" s="216"/>
      <c r="F344" s="216"/>
      <c r="G344" s="216"/>
      <c r="H344" s="216"/>
      <c r="I344" s="216"/>
      <c r="J344">
        <f t="shared" si="5"/>
        <v>292</v>
      </c>
    </row>
    <row r="345" spans="1:10" x14ac:dyDescent="0.25">
      <c r="A345" s="216"/>
      <c r="B345" s="216"/>
      <c r="C345" s="216"/>
      <c r="D345" s="216"/>
      <c r="E345" s="216"/>
      <c r="F345" s="216"/>
      <c r="G345" s="216"/>
      <c r="H345" s="216"/>
      <c r="I345" s="216"/>
      <c r="J345">
        <f t="shared" si="5"/>
        <v>293</v>
      </c>
    </row>
    <row r="346" spans="1:10" x14ac:dyDescent="0.25">
      <c r="A346" s="216"/>
      <c r="B346" s="216"/>
      <c r="C346" s="216"/>
      <c r="D346" s="216"/>
      <c r="E346" s="216"/>
      <c r="F346" s="216"/>
      <c r="G346" s="216"/>
      <c r="H346" s="216"/>
      <c r="I346" s="216"/>
      <c r="J346">
        <f t="shared" si="5"/>
        <v>294</v>
      </c>
    </row>
    <row r="347" spans="1:10" x14ac:dyDescent="0.25">
      <c r="A347" s="216"/>
      <c r="B347" s="216"/>
      <c r="C347" s="216"/>
      <c r="D347" s="216"/>
      <c r="E347" s="216"/>
      <c r="F347" s="216"/>
      <c r="G347" s="216"/>
      <c r="H347" s="216"/>
      <c r="I347" s="216"/>
      <c r="J347">
        <f t="shared" si="5"/>
        <v>295</v>
      </c>
    </row>
    <row r="348" spans="1:10" x14ac:dyDescent="0.25">
      <c r="A348" s="216"/>
      <c r="B348" s="216"/>
      <c r="C348" s="216"/>
      <c r="D348" s="216"/>
      <c r="E348" s="216"/>
      <c r="F348" s="216"/>
      <c r="G348" s="216"/>
      <c r="H348" s="216"/>
      <c r="I348" s="216"/>
      <c r="J348">
        <f t="shared" si="5"/>
        <v>296</v>
      </c>
    </row>
    <row r="349" spans="1:10" x14ac:dyDescent="0.25">
      <c r="A349" s="216"/>
      <c r="B349" s="216"/>
      <c r="C349" s="216"/>
      <c r="D349" s="216"/>
      <c r="E349" s="216"/>
      <c r="F349" s="216"/>
      <c r="G349" s="216"/>
      <c r="H349" s="216"/>
      <c r="I349" s="216"/>
      <c r="J349">
        <f t="shared" si="5"/>
        <v>297</v>
      </c>
    </row>
    <row r="350" spans="1:10" x14ac:dyDescent="0.25">
      <c r="A350" s="216"/>
      <c r="B350" s="216"/>
      <c r="C350" s="216"/>
      <c r="D350" s="216"/>
      <c r="E350" s="216"/>
      <c r="F350" s="216"/>
      <c r="G350" s="216"/>
      <c r="H350" s="216"/>
      <c r="I350" s="216"/>
      <c r="J350">
        <f t="shared" si="5"/>
        <v>298</v>
      </c>
    </row>
    <row r="351" spans="1:10" x14ac:dyDescent="0.25">
      <c r="J351">
        <f t="shared" si="5"/>
        <v>299</v>
      </c>
    </row>
  </sheetData>
  <mergeCells count="2">
    <mergeCell ref="M17:Q17"/>
    <mergeCell ref="K71:O7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21"/>
  <sheetViews>
    <sheetView topLeftCell="A34" zoomScaleNormal="100" zoomScaleSheetLayoutView="100" workbookViewId="0">
      <selection activeCell="M35" sqref="M35:M49"/>
    </sheetView>
  </sheetViews>
  <sheetFormatPr defaultRowHeight="12.5" x14ac:dyDescent="0.25"/>
  <cols>
    <col min="4" max="4" width="9.26953125" bestFit="1" customWidth="1"/>
    <col min="6" max="6" width="8.26953125" bestFit="1" customWidth="1"/>
    <col min="7" max="7" width="11.1796875" customWidth="1"/>
    <col min="8" max="8" width="4" customWidth="1"/>
    <col min="9" max="9" width="8.1796875" hidden="1" customWidth="1"/>
    <col min="10" max="10" width="9.1796875" customWidth="1"/>
    <col min="11" max="11" width="7.54296875" customWidth="1"/>
    <col min="12" max="12" width="6.81640625" customWidth="1"/>
    <col min="13" max="13" width="7.26953125" customWidth="1"/>
    <col min="14" max="15" width="8.54296875" customWidth="1"/>
    <col min="17" max="17" width="6.26953125" customWidth="1"/>
    <col min="18" max="18" width="7" customWidth="1"/>
    <col min="19" max="19" width="5.81640625" customWidth="1"/>
    <col min="20" max="20" width="6.7265625" customWidth="1"/>
    <col min="21" max="21" width="7.1796875" customWidth="1"/>
    <col min="22" max="22" width="7" customWidth="1"/>
  </cols>
  <sheetData>
    <row r="1" spans="1:37" ht="14" x14ac:dyDescent="0.3">
      <c r="B1" s="4"/>
      <c r="C1" s="4"/>
      <c r="D1" s="4"/>
      <c r="E1" s="4"/>
      <c r="F1" s="4"/>
      <c r="G1" s="4"/>
      <c r="H1" s="4"/>
      <c r="AG1" s="34"/>
      <c r="AH1" s="34"/>
      <c r="AI1" s="34"/>
      <c r="AJ1" s="34"/>
      <c r="AK1" s="34"/>
    </row>
    <row r="2" spans="1:37" ht="14" x14ac:dyDescent="0.3">
      <c r="A2" s="4"/>
      <c r="B2" s="4"/>
      <c r="C2" s="5"/>
      <c r="D2" s="4"/>
      <c r="E2" s="4"/>
      <c r="F2" s="4"/>
      <c r="G2" s="4"/>
      <c r="H2" s="4"/>
      <c r="AG2" s="34"/>
      <c r="AH2" s="34"/>
      <c r="AI2" s="34"/>
      <c r="AJ2" s="34"/>
      <c r="AK2" s="34"/>
    </row>
    <row r="3" spans="1:37" ht="13" x14ac:dyDescent="0.3">
      <c r="D3" s="6"/>
      <c r="AG3" s="34"/>
      <c r="AH3" s="34"/>
      <c r="AI3" s="34"/>
      <c r="AJ3" s="34"/>
      <c r="AK3" s="34"/>
    </row>
    <row r="4" spans="1:37" ht="13" x14ac:dyDescent="0.3">
      <c r="D4" s="9"/>
      <c r="AG4" s="34"/>
      <c r="AH4" s="34"/>
      <c r="AI4" s="34"/>
      <c r="AJ4" s="34"/>
      <c r="AK4" s="34"/>
    </row>
    <row r="5" spans="1:37" x14ac:dyDescent="0.25">
      <c r="AG5" s="34"/>
      <c r="AH5" s="34"/>
      <c r="AI5" s="34"/>
      <c r="AJ5" s="34"/>
      <c r="AK5" s="34"/>
    </row>
    <row r="6" spans="1:37" x14ac:dyDescent="0.25">
      <c r="AG6" s="34"/>
      <c r="AH6" s="34"/>
      <c r="AI6" s="34"/>
      <c r="AJ6" s="34"/>
      <c r="AK6" s="34"/>
    </row>
    <row r="7" spans="1:37" ht="13" x14ac:dyDescent="0.25">
      <c r="J7" s="84"/>
      <c r="K7" s="273"/>
      <c r="L7" s="273"/>
      <c r="M7" s="273"/>
      <c r="N7" s="273"/>
      <c r="O7" s="273"/>
      <c r="P7" s="274"/>
      <c r="Q7" s="274"/>
      <c r="R7" s="274"/>
      <c r="S7" s="85"/>
      <c r="T7" s="270"/>
      <c r="U7" s="275"/>
      <c r="V7" s="275"/>
      <c r="AG7" s="34"/>
      <c r="AH7" s="34"/>
      <c r="AI7" s="34"/>
      <c r="AJ7" s="34"/>
      <c r="AK7" s="34"/>
    </row>
    <row r="8" spans="1:37" ht="12.75" customHeight="1" x14ac:dyDescent="0.25">
      <c r="A8" s="84" t="s">
        <v>93</v>
      </c>
      <c r="B8" s="259" t="s">
        <v>142</v>
      </c>
      <c r="C8" s="259"/>
      <c r="D8" s="259"/>
      <c r="E8" s="259"/>
      <c r="F8" s="270" t="s">
        <v>45</v>
      </c>
      <c r="G8" s="272" t="s">
        <v>144</v>
      </c>
      <c r="H8" s="272"/>
      <c r="I8" s="272"/>
      <c r="J8" s="84"/>
      <c r="K8" s="273"/>
      <c r="L8" s="273"/>
      <c r="M8" s="273"/>
      <c r="N8" s="273"/>
      <c r="O8" s="273"/>
      <c r="P8" s="274"/>
      <c r="Q8" s="274"/>
      <c r="R8" s="274"/>
      <c r="S8" s="85"/>
      <c r="T8" s="276"/>
      <c r="U8" s="276"/>
      <c r="V8" s="275"/>
      <c r="AG8" s="34"/>
      <c r="AH8" s="34"/>
      <c r="AI8" s="34"/>
      <c r="AJ8" s="34"/>
      <c r="AK8" s="34"/>
    </row>
    <row r="9" spans="1:37" ht="13" x14ac:dyDescent="0.25">
      <c r="A9" s="90" t="s">
        <v>96</v>
      </c>
      <c r="B9" s="95" t="s">
        <v>143</v>
      </c>
      <c r="C9" s="95"/>
      <c r="D9" s="95"/>
      <c r="E9" s="95"/>
      <c r="F9" s="270"/>
      <c r="G9" s="272"/>
      <c r="H9" s="272"/>
      <c r="I9" s="272"/>
      <c r="J9" s="84"/>
      <c r="K9" s="273"/>
      <c r="L9" s="273"/>
      <c r="M9" s="273"/>
      <c r="N9" s="273"/>
      <c r="O9" s="273"/>
      <c r="P9" s="273"/>
      <c r="Q9" s="273"/>
      <c r="R9" s="273"/>
      <c r="S9" s="85"/>
      <c r="T9" s="87"/>
      <c r="U9" s="276"/>
      <c r="V9" s="275"/>
      <c r="AG9" s="34"/>
      <c r="AH9" s="34"/>
      <c r="AI9" s="34"/>
      <c r="AJ9" s="34"/>
      <c r="AK9" s="34"/>
    </row>
    <row r="10" spans="1:37" x14ac:dyDescent="0.25">
      <c r="A10" s="84" t="s">
        <v>94</v>
      </c>
      <c r="B10" s="259" t="s">
        <v>145</v>
      </c>
      <c r="C10" s="259"/>
      <c r="D10" s="259"/>
      <c r="E10" s="259"/>
      <c r="F10" s="270"/>
      <c r="G10" s="272"/>
      <c r="H10" s="272"/>
      <c r="I10" s="272"/>
      <c r="J10" s="84"/>
      <c r="K10" s="96"/>
      <c r="L10" s="280"/>
      <c r="M10" s="280"/>
      <c r="N10" s="280"/>
      <c r="O10" s="280"/>
      <c r="P10" s="280"/>
      <c r="Q10" s="280"/>
      <c r="R10" s="280"/>
      <c r="S10" s="280"/>
      <c r="T10" s="281"/>
      <c r="U10" s="281"/>
      <c r="V10" s="281"/>
      <c r="AG10" s="34"/>
      <c r="AH10" s="34"/>
      <c r="AI10" s="34"/>
      <c r="AJ10" s="34"/>
      <c r="AK10" s="34"/>
    </row>
    <row r="11" spans="1:37" x14ac:dyDescent="0.25">
      <c r="A11" s="85" t="s">
        <v>97</v>
      </c>
      <c r="B11" s="87"/>
      <c r="C11" s="166">
        <v>2</v>
      </c>
      <c r="D11" s="91"/>
      <c r="E11" s="92"/>
      <c r="F11" s="270"/>
      <c r="G11" s="272"/>
      <c r="H11" s="272"/>
      <c r="I11" s="272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AG11" s="34"/>
      <c r="AH11" s="34"/>
      <c r="AI11" s="34"/>
      <c r="AJ11" s="34"/>
      <c r="AK11" s="34"/>
    </row>
    <row r="12" spans="1:37" ht="13.5" x14ac:dyDescent="0.35">
      <c r="A12" s="165" t="s">
        <v>98</v>
      </c>
      <c r="B12" s="87"/>
      <c r="C12" s="166" t="s">
        <v>146</v>
      </c>
      <c r="D12" s="91"/>
      <c r="E12" s="92"/>
      <c r="F12" s="86" t="s">
        <v>101</v>
      </c>
      <c r="G12" s="95" t="s">
        <v>149</v>
      </c>
      <c r="H12" s="103"/>
      <c r="I12" s="94"/>
      <c r="J12" s="10" t="s">
        <v>20</v>
      </c>
      <c r="M12" s="8" t="s">
        <v>18</v>
      </c>
      <c r="N12" s="70">
        <v>100</v>
      </c>
      <c r="O12" s="1" t="s">
        <v>16</v>
      </c>
      <c r="AG12" s="34"/>
      <c r="AH12" s="34"/>
      <c r="AI12" s="34"/>
      <c r="AJ12" s="34"/>
      <c r="AK12" s="34"/>
    </row>
    <row r="13" spans="1:37" x14ac:dyDescent="0.25">
      <c r="A13" s="85" t="s">
        <v>99</v>
      </c>
      <c r="B13" s="89"/>
      <c r="C13" s="169" t="s">
        <v>147</v>
      </c>
      <c r="D13" s="94"/>
      <c r="E13" s="92"/>
      <c r="F13" s="88" t="s">
        <v>100</v>
      </c>
      <c r="G13" s="271" t="s">
        <v>154</v>
      </c>
      <c r="H13" s="271"/>
      <c r="I13" s="271"/>
      <c r="J13" s="79" t="s">
        <v>46</v>
      </c>
      <c r="K13" s="17" t="s">
        <v>11</v>
      </c>
      <c r="L13" s="18" t="s">
        <v>12</v>
      </c>
      <c r="M13" s="17" t="s">
        <v>13</v>
      </c>
      <c r="N13" s="18" t="s">
        <v>14</v>
      </c>
      <c r="O13" s="17" t="s">
        <v>15</v>
      </c>
      <c r="AG13" s="34"/>
      <c r="AH13" s="34"/>
      <c r="AI13" s="34"/>
      <c r="AJ13" s="34"/>
      <c r="AK13" s="34"/>
    </row>
    <row r="14" spans="1:37" x14ac:dyDescent="0.25">
      <c r="A14" s="85" t="s">
        <v>102</v>
      </c>
      <c r="B14" s="89"/>
      <c r="C14" s="106"/>
      <c r="D14" s="105" t="s">
        <v>148</v>
      </c>
      <c r="E14" s="93"/>
      <c r="F14" s="104"/>
      <c r="G14" s="271"/>
      <c r="H14" s="271"/>
      <c r="I14" s="271"/>
      <c r="J14" s="20" t="s">
        <v>47</v>
      </c>
      <c r="K14" s="19" t="s">
        <v>8</v>
      </c>
      <c r="L14" s="20" t="s">
        <v>16</v>
      </c>
      <c r="M14" s="19" t="s">
        <v>17</v>
      </c>
      <c r="N14" s="20" t="s">
        <v>17</v>
      </c>
      <c r="O14" s="19"/>
      <c r="AG14" s="34"/>
      <c r="AH14" s="34"/>
      <c r="AI14" s="34"/>
      <c r="AJ14" s="34"/>
      <c r="AK14" s="34"/>
    </row>
    <row r="15" spans="1:37" ht="15.5" x14ac:dyDescent="0.35">
      <c r="B15" s="81"/>
      <c r="C15" s="23"/>
      <c r="E15" s="56"/>
      <c r="G15" s="1"/>
      <c r="J15" s="12">
        <v>4</v>
      </c>
      <c r="K15" s="54">
        <v>4.75</v>
      </c>
      <c r="L15" s="111">
        <f>'input-output'!C6</f>
        <v>0</v>
      </c>
      <c r="M15" s="54">
        <f>L15/$N$12*P18100</f>
        <v>0</v>
      </c>
      <c r="N15" s="54">
        <f>M15</f>
        <v>0</v>
      </c>
      <c r="O15" s="54">
        <f t="shared" ref="O15:O21" si="0">100-N15</f>
        <v>100</v>
      </c>
      <c r="AG15" s="34"/>
      <c r="AH15" s="34"/>
      <c r="AI15" s="34"/>
      <c r="AJ15" s="34"/>
      <c r="AK15" s="34"/>
    </row>
    <row r="16" spans="1:37" ht="15.5" x14ac:dyDescent="0.35">
      <c r="B16" s="81" t="s">
        <v>95</v>
      </c>
      <c r="C16" s="23"/>
      <c r="E16" s="56"/>
      <c r="G16" s="1"/>
      <c r="J16" s="12">
        <v>8</v>
      </c>
      <c r="K16" s="54">
        <v>2.36</v>
      </c>
      <c r="L16" s="111">
        <f>'input-output'!C7</f>
        <v>0</v>
      </c>
      <c r="M16" s="54">
        <f t="shared" ref="M16:M22" si="1">L16/$N$12*100</f>
        <v>0</v>
      </c>
      <c r="N16" s="54">
        <f>SUM(M15:M16)</f>
        <v>0</v>
      </c>
      <c r="O16" s="54">
        <f t="shared" si="0"/>
        <v>100</v>
      </c>
      <c r="AG16" s="34"/>
      <c r="AH16" s="34"/>
      <c r="AI16" s="34"/>
      <c r="AJ16" s="34"/>
      <c r="AK16" s="34"/>
    </row>
    <row r="17" spans="1:38" ht="19.5" customHeight="1" x14ac:dyDescent="0.25">
      <c r="C17" s="1"/>
      <c r="D17" s="8"/>
      <c r="E17" s="1"/>
      <c r="F17" s="1"/>
      <c r="G17" s="1"/>
      <c r="J17" s="12">
        <v>16</v>
      </c>
      <c r="K17" s="54">
        <v>1.18</v>
      </c>
      <c r="L17" s="111">
        <f>'input-output'!C8</f>
        <v>0</v>
      </c>
      <c r="M17" s="54">
        <f t="shared" si="1"/>
        <v>0</v>
      </c>
      <c r="N17" s="54">
        <f>SUM(M15:M17)</f>
        <v>0</v>
      </c>
      <c r="O17" s="54">
        <f t="shared" si="0"/>
        <v>100</v>
      </c>
      <c r="V17" s="83"/>
      <c r="AG17" s="34"/>
      <c r="AH17" s="34"/>
      <c r="AI17" s="34"/>
      <c r="AJ17" s="34"/>
      <c r="AK17" s="34"/>
    </row>
    <row r="18" spans="1:38" ht="19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2">
        <v>30</v>
      </c>
      <c r="K18" s="54">
        <v>0.6</v>
      </c>
      <c r="L18" s="111">
        <f>'input-output'!C9</f>
        <v>0</v>
      </c>
      <c r="M18" s="54">
        <f t="shared" si="1"/>
        <v>0</v>
      </c>
      <c r="N18" s="54">
        <f>SUM(M15:M18)</f>
        <v>0</v>
      </c>
      <c r="O18" s="54">
        <f t="shared" si="0"/>
        <v>100</v>
      </c>
      <c r="AG18" s="34"/>
      <c r="AH18" s="34"/>
      <c r="AI18" s="34"/>
      <c r="AJ18" s="34"/>
      <c r="AK18" s="34"/>
    </row>
    <row r="19" spans="1:38" ht="20.2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2">
        <v>50</v>
      </c>
      <c r="K19" s="54">
        <v>0.3</v>
      </c>
      <c r="L19" s="111">
        <f>'input-output'!C10</f>
        <v>0</v>
      </c>
      <c r="M19" s="54">
        <f t="shared" si="1"/>
        <v>0</v>
      </c>
      <c r="N19" s="54">
        <f>SUM(M15:M19)</f>
        <v>0</v>
      </c>
      <c r="O19" s="54">
        <f t="shared" si="0"/>
        <v>100</v>
      </c>
      <c r="AG19" s="34"/>
      <c r="AH19" s="34"/>
      <c r="AI19" s="34"/>
      <c r="AJ19" s="34"/>
      <c r="AK19" s="34"/>
    </row>
    <row r="20" spans="1:38" ht="20.2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2">
        <v>100</v>
      </c>
      <c r="K20" s="54">
        <v>0.15</v>
      </c>
      <c r="L20" s="111">
        <f>'input-output'!C11</f>
        <v>0.7</v>
      </c>
      <c r="M20" s="54">
        <f t="shared" si="1"/>
        <v>0.7</v>
      </c>
      <c r="N20" s="54">
        <f>SUM(M15:M20)</f>
        <v>0.7</v>
      </c>
      <c r="O20" s="54">
        <f t="shared" si="0"/>
        <v>99.3</v>
      </c>
      <c r="AG20" s="34"/>
      <c r="AH20" s="34"/>
      <c r="AI20" s="34"/>
      <c r="AJ20" s="34"/>
      <c r="AK20" s="34"/>
    </row>
    <row r="21" spans="1:38" ht="20.2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2">
        <v>200</v>
      </c>
      <c r="K21" s="54">
        <v>7.4999999999999997E-2</v>
      </c>
      <c r="L21" s="111">
        <f>'input-output'!C12</f>
        <v>0.7</v>
      </c>
      <c r="M21" s="54">
        <f t="shared" si="1"/>
        <v>0.7</v>
      </c>
      <c r="N21" s="54">
        <f>SUM(M15:M21)</f>
        <v>1.4</v>
      </c>
      <c r="O21" s="54">
        <f t="shared" si="0"/>
        <v>98.6</v>
      </c>
      <c r="AG21" s="34"/>
      <c r="AH21" s="34"/>
      <c r="AI21" s="34"/>
      <c r="AJ21" s="34"/>
      <c r="AK21" s="34"/>
    </row>
    <row r="22" spans="1:38" ht="22.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6" t="s">
        <v>48</v>
      </c>
      <c r="K22" s="12" t="s">
        <v>49</v>
      </c>
      <c r="L22" s="111" t="e">
        <f>'input-output'!#REF!</f>
        <v>#REF!</v>
      </c>
      <c r="M22" s="54" t="e">
        <f t="shared" si="1"/>
        <v>#REF!</v>
      </c>
      <c r="N22" s="112" t="e">
        <f>IF(SUM(M15:M22)=100,100,"Adjust wt.")</f>
        <v>#REF!</v>
      </c>
      <c r="O22" s="21" t="s">
        <v>49</v>
      </c>
      <c r="AG22" s="34"/>
      <c r="AH22" s="34"/>
      <c r="AI22" s="34"/>
      <c r="AJ22" s="34"/>
      <c r="AK22" s="34"/>
    </row>
    <row r="23" spans="1:38" ht="19.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AG23" s="34"/>
      <c r="AH23" s="34"/>
      <c r="AI23" s="34"/>
      <c r="AJ23" s="34"/>
      <c r="AK23" s="34"/>
    </row>
    <row r="24" spans="1:38" ht="17.25" customHeight="1" x14ac:dyDescent="0.25"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AG24" s="34"/>
      <c r="AH24" s="34"/>
      <c r="AI24" s="34"/>
      <c r="AJ24" s="34"/>
      <c r="AK24" s="34"/>
    </row>
    <row r="25" spans="1:38" ht="19.5" customHeight="1" x14ac:dyDescent="0.25"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AG25" s="34"/>
      <c r="AH25" s="34"/>
      <c r="AI25" s="34"/>
      <c r="AJ25" s="34"/>
      <c r="AK25" s="34"/>
    </row>
    <row r="26" spans="1:38" ht="17.25" customHeight="1" x14ac:dyDescent="0.25">
      <c r="J26" s="10" t="s">
        <v>19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AG26" s="34"/>
      <c r="AH26" s="34"/>
      <c r="AI26" s="34"/>
      <c r="AJ26" s="34"/>
      <c r="AK26" s="34"/>
    </row>
    <row r="27" spans="1:38" ht="18" customHeight="1" x14ac:dyDescent="0.35">
      <c r="B27" s="1"/>
      <c r="C27" s="1"/>
      <c r="D27" s="1"/>
      <c r="E27" s="1"/>
      <c r="F27" s="1"/>
      <c r="G27" s="1"/>
      <c r="J27" s="29" t="s">
        <v>50</v>
      </c>
      <c r="K27" s="31"/>
      <c r="L27" s="30"/>
      <c r="M27" s="282" t="s">
        <v>51</v>
      </c>
      <c r="N27" s="283"/>
      <c r="O27" s="29" t="s">
        <v>52</v>
      </c>
      <c r="P27" s="31"/>
      <c r="Q27" s="284">
        <v>867452</v>
      </c>
      <c r="R27" s="285"/>
      <c r="S27" s="33" t="s">
        <v>55</v>
      </c>
      <c r="T27" s="32"/>
      <c r="U27" s="32"/>
      <c r="V27" s="66">
        <f>GS</f>
        <v>2.74</v>
      </c>
      <c r="AH27" s="34"/>
      <c r="AI27" s="34"/>
      <c r="AJ27" s="34"/>
      <c r="AK27" s="34"/>
      <c r="AL27" s="34"/>
    </row>
    <row r="28" spans="1:38" ht="13.5" x14ac:dyDescent="0.35">
      <c r="J28" s="29" t="s">
        <v>58</v>
      </c>
      <c r="K28" s="75">
        <v>0</v>
      </c>
      <c r="L28" s="39" t="s">
        <v>59</v>
      </c>
      <c r="M28" s="75">
        <v>10.65</v>
      </c>
      <c r="N28" s="37" t="s">
        <v>35</v>
      </c>
      <c r="O28" s="40" t="s">
        <v>60</v>
      </c>
      <c r="P28" s="75">
        <v>14</v>
      </c>
      <c r="Q28" s="31" t="s">
        <v>35</v>
      </c>
      <c r="R28" s="37"/>
      <c r="S28" s="71" t="s">
        <v>36</v>
      </c>
      <c r="T28" s="31"/>
      <c r="U28" s="75">
        <v>27.8</v>
      </c>
      <c r="V28" s="37" t="s">
        <v>62</v>
      </c>
      <c r="AH28" s="34"/>
      <c r="AI28" s="34"/>
      <c r="AJ28" s="34"/>
      <c r="AK28" s="34"/>
      <c r="AL28" s="34"/>
    </row>
    <row r="29" spans="1:38" ht="13.5" x14ac:dyDescent="0.35">
      <c r="J29" s="29" t="s">
        <v>58</v>
      </c>
      <c r="K29" s="75">
        <v>60</v>
      </c>
      <c r="L29" s="39" t="s">
        <v>59</v>
      </c>
      <c r="M29" s="75">
        <v>0.8</v>
      </c>
      <c r="N29" s="37" t="s">
        <v>35</v>
      </c>
      <c r="O29" s="29" t="s">
        <v>63</v>
      </c>
      <c r="P29" s="31"/>
      <c r="Q29" s="75">
        <v>59</v>
      </c>
      <c r="R29" s="37" t="s">
        <v>61</v>
      </c>
      <c r="S29" s="65" t="s">
        <v>79</v>
      </c>
      <c r="T29" s="30"/>
      <c r="U29" s="38">
        <v>50</v>
      </c>
      <c r="V29" s="37" t="s">
        <v>16</v>
      </c>
      <c r="AG29" s="34"/>
      <c r="AH29" s="34"/>
      <c r="AI29" s="34"/>
      <c r="AJ29" s="34"/>
      <c r="AK29" s="34"/>
    </row>
    <row r="30" spans="1:38" x14ac:dyDescent="0.25">
      <c r="J30" s="29" t="s">
        <v>53</v>
      </c>
      <c r="K30" s="31"/>
      <c r="L30" s="277" t="s">
        <v>86</v>
      </c>
      <c r="M30" s="278"/>
      <c r="N30" s="278"/>
      <c r="O30" s="278"/>
      <c r="P30" s="278"/>
      <c r="Q30" s="278"/>
      <c r="R30" s="279"/>
      <c r="S30" s="29" t="s">
        <v>64</v>
      </c>
      <c r="T30" s="64"/>
      <c r="U30" s="31"/>
      <c r="V30" s="37" t="s">
        <v>65</v>
      </c>
      <c r="W30" s="1"/>
      <c r="AE30" s="1"/>
      <c r="AH30" s="34"/>
      <c r="AI30" s="34"/>
      <c r="AJ30" s="34"/>
      <c r="AK30" s="34"/>
      <c r="AL30" s="34"/>
    </row>
    <row r="31" spans="1:38" x14ac:dyDescent="0.25">
      <c r="J31" s="35" t="s">
        <v>54</v>
      </c>
      <c r="K31" s="36"/>
      <c r="L31" s="74">
        <f>'input-output'!J3</f>
        <v>5</v>
      </c>
      <c r="M31" s="36" t="s">
        <v>56</v>
      </c>
      <c r="N31" s="2"/>
      <c r="O31" s="2"/>
      <c r="P31" s="2"/>
      <c r="Q31" s="2"/>
      <c r="R31" s="2"/>
      <c r="S31" s="29" t="s">
        <v>57</v>
      </c>
      <c r="T31" s="64"/>
      <c r="U31" s="30"/>
      <c r="V31" s="76">
        <f>'input-output'!J4</f>
        <v>0.5</v>
      </c>
      <c r="AH31" s="34"/>
      <c r="AI31" s="34"/>
      <c r="AJ31" s="34"/>
      <c r="AK31" s="34"/>
      <c r="AL31" s="34"/>
    </row>
    <row r="32" spans="1:38" x14ac:dyDescent="0.25"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AG32" s="34"/>
      <c r="AH32" s="34"/>
      <c r="AI32" s="34"/>
      <c r="AJ32" s="34"/>
      <c r="AK32" s="34"/>
    </row>
    <row r="33" spans="1:40" ht="50" x14ac:dyDescent="0.25">
      <c r="J33" s="41" t="s">
        <v>0</v>
      </c>
      <c r="K33" s="42" t="s">
        <v>28</v>
      </c>
      <c r="L33" s="43" t="s">
        <v>37</v>
      </c>
      <c r="M33" s="44" t="s">
        <v>41</v>
      </c>
      <c r="N33" s="45" t="s">
        <v>1</v>
      </c>
      <c r="O33" s="43" t="s">
        <v>31</v>
      </c>
      <c r="P33" s="44" t="s">
        <v>66</v>
      </c>
      <c r="Q33" s="44" t="s">
        <v>67</v>
      </c>
      <c r="R33" s="43" t="s">
        <v>33</v>
      </c>
      <c r="S33" s="43" t="s">
        <v>68</v>
      </c>
      <c r="T33" s="43" t="s">
        <v>40</v>
      </c>
      <c r="U33" s="43" t="s">
        <v>6</v>
      </c>
      <c r="V33" s="43" t="s">
        <v>44</v>
      </c>
      <c r="AG33" s="28"/>
      <c r="AH33" s="24"/>
      <c r="AI33" s="51"/>
      <c r="AJ33" s="24"/>
      <c r="AK33" s="24"/>
      <c r="AL33" s="24"/>
      <c r="AM33" s="24"/>
      <c r="AN33" s="22"/>
    </row>
    <row r="34" spans="1:40" ht="13.5" x14ac:dyDescent="0.35">
      <c r="J34" s="46"/>
      <c r="K34" s="47"/>
      <c r="L34" s="19" t="s">
        <v>38</v>
      </c>
      <c r="M34" s="48" t="s">
        <v>29</v>
      </c>
      <c r="N34" s="49" t="s">
        <v>2</v>
      </c>
      <c r="O34" s="19" t="s">
        <v>30</v>
      </c>
      <c r="P34" s="48" t="s">
        <v>32</v>
      </c>
      <c r="Q34" s="48"/>
      <c r="R34" s="19" t="s">
        <v>4</v>
      </c>
      <c r="S34" s="19" t="s">
        <v>34</v>
      </c>
      <c r="T34" s="19" t="s">
        <v>42</v>
      </c>
      <c r="U34" s="50" t="s">
        <v>82</v>
      </c>
      <c r="V34" s="19" t="s">
        <v>43</v>
      </c>
      <c r="AC34" s="24"/>
      <c r="AD34" s="24"/>
      <c r="AE34" s="51"/>
      <c r="AF34" s="24"/>
      <c r="AG34" s="24"/>
      <c r="AH34" s="24"/>
      <c r="AI34" s="24"/>
      <c r="AJ34" s="22"/>
    </row>
    <row r="35" spans="1:40" x14ac:dyDescent="0.25">
      <c r="J35" s="174" t="s">
        <v>150</v>
      </c>
      <c r="K35" s="260" t="s">
        <v>103</v>
      </c>
      <c r="L35" s="26">
        <f>'input-output'!F5</f>
        <v>0.25</v>
      </c>
      <c r="M35" s="26">
        <f>'input-output'!G5</f>
        <v>48</v>
      </c>
      <c r="N35" s="26">
        <f>'input-output'!H5</f>
        <v>30</v>
      </c>
      <c r="O35" s="11">
        <f t="shared" ref="O35:O49" si="2">M35-$L$31+$V$31+ROUND(0.0001220529*N35^4-0.0097599296*N35^3+0.2949228983*N35^2-3.7542171086*N35+15.6302691117,1)</f>
        <v>47.3</v>
      </c>
      <c r="P35" s="27">
        <f t="shared" ref="P35:P49" si="3">O35/$U$29*$P$52*100</f>
        <v>92.753407999999993</v>
      </c>
      <c r="Q35" s="27">
        <f t="shared" ref="Q35:Q49" si="4">P35*$O$21/100</f>
        <v>91.454860287999978</v>
      </c>
      <c r="R35" s="11">
        <f t="shared" ref="R35:R49" si="5">M35+$V$31</f>
        <v>48.5</v>
      </c>
      <c r="S35" s="11">
        <f t="shared" ref="S35:S49" si="6">ROUND(($M$28-$M$29)/($K$28-$K$29)*(R35-$K$28)+$M$28+0.5*(Ltwo-Vb/Agrad),1)</f>
        <v>8.6</v>
      </c>
      <c r="T35" s="11">
        <f t="shared" ref="T35:T49" si="7">ROUND(-0.000005006464124*N35^2-0.00000484550743*N35+1.00033065352292,5)</f>
        <v>0.99568000000000001</v>
      </c>
      <c r="U35" s="11">
        <f t="shared" ref="U35:U49" si="8">ROUND(0.000000000347305*N35^4-0.00000010799529*N35^3+0.000010444897593*N35^2-0.00054383241282*N35+0.017557582729184,5)</f>
        <v>8.0099999999999998E-3</v>
      </c>
      <c r="V35" s="12">
        <f t="shared" ref="V35:V49" si="9">ROUND( (30*U35/980/(GS-T35)*S35/L35)^0.5,5)</f>
        <v>6.9540000000000005E-2</v>
      </c>
      <c r="AC35" s="24"/>
      <c r="AD35" s="24"/>
      <c r="AE35" s="51"/>
      <c r="AF35" s="24"/>
      <c r="AG35" s="24"/>
      <c r="AH35" s="24"/>
      <c r="AI35" s="24"/>
      <c r="AJ35" s="22"/>
    </row>
    <row r="36" spans="1:40" x14ac:dyDescent="0.25">
      <c r="J36" s="26"/>
      <c r="K36" s="261"/>
      <c r="L36" s="26">
        <f>'input-output'!F6</f>
        <v>0.5</v>
      </c>
      <c r="M36" s="26">
        <f>'input-output'!G6</f>
        <v>46</v>
      </c>
      <c r="N36" s="26">
        <f>'input-output'!H6</f>
        <v>30</v>
      </c>
      <c r="O36" s="11">
        <f t="shared" si="2"/>
        <v>45.3</v>
      </c>
      <c r="P36" s="27">
        <f t="shared" si="3"/>
        <v>88.831487999999993</v>
      </c>
      <c r="Q36" s="27">
        <f t="shared" si="4"/>
        <v>87.587847167999996</v>
      </c>
      <c r="R36" s="11">
        <f t="shared" si="5"/>
        <v>46.5</v>
      </c>
      <c r="S36" s="11">
        <f t="shared" si="6"/>
        <v>9</v>
      </c>
      <c r="T36" s="11">
        <f t="shared" si="7"/>
        <v>0.99568000000000001</v>
      </c>
      <c r="U36" s="11">
        <f t="shared" si="8"/>
        <v>8.0099999999999998E-3</v>
      </c>
      <c r="V36" s="12">
        <f t="shared" si="9"/>
        <v>5.0299999999999997E-2</v>
      </c>
      <c r="AC36" s="24"/>
      <c r="AD36" s="24"/>
      <c r="AE36" s="51"/>
      <c r="AF36" s="24"/>
      <c r="AG36" s="24"/>
      <c r="AH36" s="24"/>
      <c r="AI36" s="24"/>
      <c r="AJ36" s="22"/>
    </row>
    <row r="37" spans="1:40" x14ac:dyDescent="0.25">
      <c r="J37" s="26"/>
      <c r="K37" s="261"/>
      <c r="L37" s="26">
        <f>'input-output'!F7</f>
        <v>1</v>
      </c>
      <c r="M37" s="26">
        <f>'input-output'!G7</f>
        <v>43</v>
      </c>
      <c r="N37" s="26">
        <f>'input-output'!H7</f>
        <v>30</v>
      </c>
      <c r="O37" s="11">
        <f t="shared" si="2"/>
        <v>42.3</v>
      </c>
      <c r="P37" s="27">
        <f t="shared" si="3"/>
        <v>82.948608000000007</v>
      </c>
      <c r="Q37" s="27">
        <f t="shared" si="4"/>
        <v>81.787327488000003</v>
      </c>
      <c r="R37" s="11">
        <f t="shared" si="5"/>
        <v>43.5</v>
      </c>
      <c r="S37" s="11">
        <f t="shared" si="6"/>
        <v>9.4</v>
      </c>
      <c r="T37" s="11">
        <f t="shared" si="7"/>
        <v>0.99568000000000001</v>
      </c>
      <c r="U37" s="11">
        <f t="shared" si="8"/>
        <v>8.0099999999999998E-3</v>
      </c>
      <c r="V37" s="12">
        <f t="shared" si="9"/>
        <v>3.635E-2</v>
      </c>
      <c r="AC37" s="24"/>
      <c r="AD37" s="24"/>
      <c r="AE37" s="51"/>
      <c r="AF37" s="24"/>
      <c r="AG37" s="24"/>
      <c r="AH37" s="24"/>
      <c r="AI37" s="24"/>
      <c r="AJ37" s="22"/>
    </row>
    <row r="38" spans="1:40" x14ac:dyDescent="0.25">
      <c r="J38" s="26"/>
      <c r="K38" s="261"/>
      <c r="L38" s="26">
        <f>'input-output'!F8</f>
        <v>2</v>
      </c>
      <c r="M38" s="26">
        <f>'input-output'!G8</f>
        <v>40</v>
      </c>
      <c r="N38" s="26">
        <f>'input-output'!H8</f>
        <v>30</v>
      </c>
      <c r="O38" s="11">
        <f t="shared" si="2"/>
        <v>39.299999999999997</v>
      </c>
      <c r="P38" s="27">
        <f t="shared" si="3"/>
        <v>77.065727999999993</v>
      </c>
      <c r="Q38" s="27">
        <f t="shared" si="4"/>
        <v>75.98680780799998</v>
      </c>
      <c r="R38" s="11">
        <f t="shared" si="5"/>
        <v>40.5</v>
      </c>
      <c r="S38" s="11">
        <f t="shared" si="6"/>
        <v>9.9</v>
      </c>
      <c r="T38" s="11">
        <f t="shared" si="7"/>
        <v>0.99568000000000001</v>
      </c>
      <c r="U38" s="11">
        <f t="shared" si="8"/>
        <v>8.0099999999999998E-3</v>
      </c>
      <c r="V38" s="12">
        <f t="shared" si="9"/>
        <v>2.6380000000000001E-2</v>
      </c>
      <c r="AC38" s="24"/>
      <c r="AD38" s="24"/>
      <c r="AE38" s="51"/>
      <c r="AF38" s="24"/>
      <c r="AG38" s="24"/>
      <c r="AH38" s="24"/>
      <c r="AI38" s="24"/>
      <c r="AJ38" s="22"/>
    </row>
    <row r="39" spans="1:40" x14ac:dyDescent="0.25">
      <c r="J39" s="26"/>
      <c r="K39" s="261"/>
      <c r="L39" s="26">
        <f>'input-output'!F9</f>
        <v>4</v>
      </c>
      <c r="M39" s="26">
        <f>'input-output'!G9</f>
        <v>37</v>
      </c>
      <c r="N39" s="26">
        <f>'input-output'!H9</f>
        <v>30</v>
      </c>
      <c r="O39" s="11">
        <f t="shared" si="2"/>
        <v>36.299999999999997</v>
      </c>
      <c r="P39" s="27">
        <f t="shared" si="3"/>
        <v>71.182847999999993</v>
      </c>
      <c r="Q39" s="27">
        <f t="shared" si="4"/>
        <v>70.186288127999987</v>
      </c>
      <c r="R39" s="11">
        <f t="shared" si="5"/>
        <v>37.5</v>
      </c>
      <c r="S39" s="11">
        <f t="shared" si="6"/>
        <v>10.4</v>
      </c>
      <c r="T39" s="11">
        <f t="shared" si="7"/>
        <v>0.99568000000000001</v>
      </c>
      <c r="U39" s="11">
        <f t="shared" si="8"/>
        <v>8.0099999999999998E-3</v>
      </c>
      <c r="V39" s="12">
        <f t="shared" si="9"/>
        <v>1.9120000000000002E-2</v>
      </c>
      <c r="AC39" s="24"/>
      <c r="AD39" s="24"/>
      <c r="AE39" s="51"/>
      <c r="AF39" s="24"/>
      <c r="AG39" s="24"/>
      <c r="AH39" s="24"/>
      <c r="AI39" s="24"/>
      <c r="AJ39" s="22"/>
    </row>
    <row r="40" spans="1:40" x14ac:dyDescent="0.25">
      <c r="A40" s="82"/>
      <c r="J40" s="26"/>
      <c r="K40" s="261"/>
      <c r="L40" s="26">
        <f>'input-output'!F10</f>
        <v>8</v>
      </c>
      <c r="M40" s="26">
        <f>'input-output'!G10</f>
        <v>32.5</v>
      </c>
      <c r="N40" s="26">
        <f>'input-output'!H10</f>
        <v>30</v>
      </c>
      <c r="O40" s="11">
        <f t="shared" si="2"/>
        <v>31.8</v>
      </c>
      <c r="P40" s="27">
        <f t="shared" si="3"/>
        <v>62.358528</v>
      </c>
      <c r="Q40" s="27">
        <f t="shared" si="4"/>
        <v>61.485508608000004</v>
      </c>
      <c r="R40" s="11">
        <f t="shared" si="5"/>
        <v>33</v>
      </c>
      <c r="S40" s="11">
        <f t="shared" si="6"/>
        <v>11.2</v>
      </c>
      <c r="T40" s="11">
        <f t="shared" si="7"/>
        <v>0.99568000000000001</v>
      </c>
      <c r="U40" s="11">
        <f t="shared" si="8"/>
        <v>8.0099999999999998E-3</v>
      </c>
      <c r="V40" s="12">
        <f t="shared" si="9"/>
        <v>1.4030000000000001E-2</v>
      </c>
      <c r="AC40" s="24"/>
      <c r="AD40" s="24"/>
      <c r="AE40" s="51"/>
      <c r="AF40" s="24"/>
      <c r="AG40" s="24"/>
      <c r="AH40" s="24"/>
      <c r="AI40" s="24"/>
      <c r="AJ40" s="22"/>
    </row>
    <row r="41" spans="1:40" x14ac:dyDescent="0.25">
      <c r="A41" s="82"/>
      <c r="J41" s="26"/>
      <c r="K41" s="261"/>
      <c r="L41" s="26">
        <f>'input-output'!F11</f>
        <v>15</v>
      </c>
      <c r="M41" s="26">
        <f>'input-output'!G11</f>
        <v>28.5</v>
      </c>
      <c r="N41" s="26">
        <f>'input-output'!H11</f>
        <v>30</v>
      </c>
      <c r="O41" s="11">
        <f t="shared" si="2"/>
        <v>27.8</v>
      </c>
      <c r="P41" s="27">
        <f t="shared" si="3"/>
        <v>54.514688000000014</v>
      </c>
      <c r="Q41" s="27">
        <f t="shared" si="4"/>
        <v>53.751482368000005</v>
      </c>
      <c r="R41" s="11">
        <f t="shared" si="5"/>
        <v>29</v>
      </c>
      <c r="S41" s="11">
        <f t="shared" si="6"/>
        <v>11.8</v>
      </c>
      <c r="T41" s="11">
        <f t="shared" si="7"/>
        <v>0.99568000000000001</v>
      </c>
      <c r="U41" s="11">
        <f t="shared" si="8"/>
        <v>8.0099999999999998E-3</v>
      </c>
      <c r="V41" s="12">
        <f t="shared" si="9"/>
        <v>1.052E-2</v>
      </c>
      <c r="AC41" s="24"/>
      <c r="AD41" s="24"/>
      <c r="AE41" s="51"/>
      <c r="AF41" s="24"/>
      <c r="AG41" s="24"/>
      <c r="AH41" s="24"/>
      <c r="AI41" s="24"/>
      <c r="AJ41" s="22"/>
    </row>
    <row r="42" spans="1:40" x14ac:dyDescent="0.25">
      <c r="B42" s="7"/>
      <c r="G42" s="7"/>
      <c r="J42" s="26"/>
      <c r="K42" s="261"/>
      <c r="L42" s="26">
        <f>'input-output'!F12</f>
        <v>30</v>
      </c>
      <c r="M42" s="26">
        <f>'input-output'!G12</f>
        <v>24</v>
      </c>
      <c r="N42" s="26">
        <f>'input-output'!H12</f>
        <v>30</v>
      </c>
      <c r="O42" s="11">
        <f t="shared" si="2"/>
        <v>23.3</v>
      </c>
      <c r="P42" s="27">
        <f t="shared" si="3"/>
        <v>45.690368000000007</v>
      </c>
      <c r="Q42" s="27">
        <f t="shared" si="4"/>
        <v>45.050702848</v>
      </c>
      <c r="R42" s="11">
        <f t="shared" si="5"/>
        <v>24.5</v>
      </c>
      <c r="S42" s="11">
        <f t="shared" si="6"/>
        <v>12.6</v>
      </c>
      <c r="T42" s="11">
        <f t="shared" si="7"/>
        <v>0.99568000000000001</v>
      </c>
      <c r="U42" s="11">
        <f t="shared" si="8"/>
        <v>8.0099999999999998E-3</v>
      </c>
      <c r="V42" s="12">
        <f t="shared" si="9"/>
        <v>7.6800000000000002E-3</v>
      </c>
      <c r="AC42" s="24"/>
      <c r="AD42" s="24"/>
      <c r="AE42" s="51"/>
      <c r="AF42" s="24"/>
      <c r="AG42" s="24"/>
      <c r="AH42" s="24"/>
      <c r="AI42" s="24"/>
      <c r="AJ42" s="22"/>
    </row>
    <row r="43" spans="1:40" x14ac:dyDescent="0.25">
      <c r="J43" s="26"/>
      <c r="K43" s="261"/>
      <c r="L43" s="26">
        <f>'input-output'!F13</f>
        <v>60</v>
      </c>
      <c r="M43" s="26">
        <f>'input-output'!G13</f>
        <v>20</v>
      </c>
      <c r="N43" s="26">
        <f>'input-output'!H13</f>
        <v>30</v>
      </c>
      <c r="O43" s="11">
        <f t="shared" si="2"/>
        <v>19.3</v>
      </c>
      <c r="P43" s="27">
        <f t="shared" si="3"/>
        <v>37.846527999999999</v>
      </c>
      <c r="Q43" s="27">
        <f t="shared" si="4"/>
        <v>37.316676607999995</v>
      </c>
      <c r="R43" s="11">
        <f t="shared" si="5"/>
        <v>20.5</v>
      </c>
      <c r="S43" s="11">
        <f t="shared" si="6"/>
        <v>13.2</v>
      </c>
      <c r="T43" s="11">
        <f t="shared" si="7"/>
        <v>0.99568000000000001</v>
      </c>
      <c r="U43" s="11">
        <f t="shared" si="8"/>
        <v>8.0099999999999998E-3</v>
      </c>
      <c r="V43" s="12">
        <f t="shared" si="9"/>
        <v>5.5599999999999998E-3</v>
      </c>
      <c r="AC43" s="24"/>
      <c r="AD43" s="24"/>
      <c r="AE43" s="51"/>
      <c r="AF43" s="24"/>
      <c r="AG43" s="24"/>
      <c r="AH43" s="24"/>
      <c r="AI43" s="24"/>
      <c r="AJ43" s="22"/>
    </row>
    <row r="44" spans="1:40" ht="13" x14ac:dyDescent="0.3">
      <c r="A44" s="80" t="s">
        <v>88</v>
      </c>
      <c r="B44" s="9"/>
      <c r="C44" s="9"/>
      <c r="D44" s="9"/>
      <c r="E44" s="9"/>
      <c r="F44" s="9"/>
      <c r="G44" s="80" t="s">
        <v>89</v>
      </c>
      <c r="J44" s="26"/>
      <c r="K44" s="261"/>
      <c r="L44" s="26">
        <f>'input-output'!F14</f>
        <v>120</v>
      </c>
      <c r="M44" s="26">
        <f>'input-output'!G14</f>
        <v>15</v>
      </c>
      <c r="N44" s="26">
        <f>'input-output'!H14</f>
        <v>30</v>
      </c>
      <c r="O44" s="11">
        <f t="shared" si="2"/>
        <v>14.3</v>
      </c>
      <c r="P44" s="27">
        <f t="shared" si="3"/>
        <v>28.041728000000006</v>
      </c>
      <c r="Q44" s="27">
        <f t="shared" si="4"/>
        <v>27.649143808000005</v>
      </c>
      <c r="R44" s="11">
        <f t="shared" si="5"/>
        <v>15.5</v>
      </c>
      <c r="S44" s="11">
        <f t="shared" si="6"/>
        <v>14</v>
      </c>
      <c r="T44" s="11">
        <f t="shared" si="7"/>
        <v>0.99568000000000001</v>
      </c>
      <c r="U44" s="11">
        <f t="shared" si="8"/>
        <v>8.0099999999999998E-3</v>
      </c>
      <c r="V44" s="12">
        <f t="shared" si="9"/>
        <v>4.0499999999999998E-3</v>
      </c>
      <c r="AC44" s="24"/>
      <c r="AD44" s="24"/>
      <c r="AE44" s="51"/>
      <c r="AF44" s="24"/>
      <c r="AG44" s="24"/>
      <c r="AH44" s="24"/>
      <c r="AI44" s="24"/>
      <c r="AJ44" s="22"/>
    </row>
    <row r="45" spans="1:40" ht="33.75" customHeight="1" x14ac:dyDescent="0.25">
      <c r="J45" s="26"/>
      <c r="K45" s="261"/>
      <c r="L45" s="26">
        <f>'input-output'!F15</f>
        <v>240</v>
      </c>
      <c r="M45" s="26">
        <f>'input-output'!G15</f>
        <v>13.5</v>
      </c>
      <c r="N45" s="26">
        <f>'input-output'!H15</f>
        <v>30</v>
      </c>
      <c r="O45" s="11">
        <f t="shared" si="2"/>
        <v>12.8</v>
      </c>
      <c r="P45" s="27">
        <f t="shared" si="3"/>
        <v>25.100287999999999</v>
      </c>
      <c r="Q45" s="27">
        <f t="shared" si="4"/>
        <v>24.748883967999994</v>
      </c>
      <c r="R45" s="11">
        <f t="shared" si="5"/>
        <v>14</v>
      </c>
      <c r="S45" s="11">
        <f t="shared" si="6"/>
        <v>14.3</v>
      </c>
      <c r="T45" s="11">
        <f t="shared" si="7"/>
        <v>0.99568000000000001</v>
      </c>
      <c r="U45" s="11">
        <f t="shared" si="8"/>
        <v>8.0099999999999998E-3</v>
      </c>
      <c r="V45" s="12">
        <f t="shared" si="9"/>
        <v>2.8900000000000002E-3</v>
      </c>
      <c r="AC45" s="24"/>
      <c r="AD45" s="24"/>
      <c r="AE45" s="51"/>
      <c r="AF45" s="24"/>
      <c r="AG45" s="24"/>
      <c r="AH45" s="24"/>
      <c r="AI45" s="24"/>
      <c r="AJ45" s="22"/>
    </row>
    <row r="46" spans="1:40" ht="13" thickBot="1" x14ac:dyDescent="0.3">
      <c r="J46" s="26"/>
      <c r="K46" s="261"/>
      <c r="L46" s="26">
        <f>'input-output'!F16</f>
        <v>480</v>
      </c>
      <c r="M46" s="26">
        <f>'input-output'!G17</f>
        <v>9</v>
      </c>
      <c r="N46" s="26">
        <f>'input-output'!H16</f>
        <v>30</v>
      </c>
      <c r="O46" s="11">
        <f t="shared" si="2"/>
        <v>8.3000000000000007</v>
      </c>
      <c r="P46" s="27">
        <f t="shared" si="3"/>
        <v>16.275968000000002</v>
      </c>
      <c r="Q46" s="27">
        <f t="shared" si="4"/>
        <v>16.048104448</v>
      </c>
      <c r="R46" s="11">
        <f t="shared" si="5"/>
        <v>9.5</v>
      </c>
      <c r="S46" s="11">
        <f t="shared" si="6"/>
        <v>15</v>
      </c>
      <c r="T46" s="11">
        <f t="shared" si="7"/>
        <v>0.99568000000000001</v>
      </c>
      <c r="U46" s="11">
        <f t="shared" si="8"/>
        <v>8.0099999999999998E-3</v>
      </c>
      <c r="V46" s="12">
        <f t="shared" si="9"/>
        <v>2.0999999999999999E-3</v>
      </c>
      <c r="AC46" s="24"/>
      <c r="AD46" s="24"/>
      <c r="AE46" s="51"/>
      <c r="AF46" s="24"/>
      <c r="AG46" s="24"/>
      <c r="AH46" s="24"/>
      <c r="AI46" s="24"/>
      <c r="AJ46" s="22"/>
    </row>
    <row r="47" spans="1:40" x14ac:dyDescent="0.25">
      <c r="A47" s="100" t="s">
        <v>153</v>
      </c>
      <c r="B47" s="101"/>
      <c r="C47" s="101"/>
      <c r="G47" s="100" t="s">
        <v>139</v>
      </c>
      <c r="H47" s="101"/>
      <c r="I47" s="101"/>
      <c r="J47" s="77"/>
      <c r="K47" s="261"/>
      <c r="L47" s="26">
        <f>'input-output'!F17</f>
        <v>1463</v>
      </c>
      <c r="M47" s="26">
        <f>'input-output'!G18</f>
        <v>8.5</v>
      </c>
      <c r="N47" s="26">
        <f>'input-output'!H17</f>
        <v>30</v>
      </c>
      <c r="O47" s="11">
        <f t="shared" si="2"/>
        <v>7.8</v>
      </c>
      <c r="P47" s="27">
        <f t="shared" si="3"/>
        <v>15.295488000000002</v>
      </c>
      <c r="Q47" s="27">
        <f t="shared" si="4"/>
        <v>15.081351168000001</v>
      </c>
      <c r="R47" s="11">
        <f t="shared" si="5"/>
        <v>9</v>
      </c>
      <c r="S47" s="11">
        <f t="shared" si="6"/>
        <v>15.1</v>
      </c>
      <c r="T47" s="11">
        <f t="shared" si="7"/>
        <v>0.99568000000000001</v>
      </c>
      <c r="U47" s="11">
        <f t="shared" si="8"/>
        <v>8.0099999999999998E-3</v>
      </c>
      <c r="V47" s="107">
        <f t="shared" si="9"/>
        <v>1.1999999999999999E-3</v>
      </c>
      <c r="W47" s="108">
        <f>24*60</f>
        <v>1440</v>
      </c>
      <c r="X47" s="263" t="s">
        <v>104</v>
      </c>
      <c r="AC47" s="24"/>
      <c r="AD47" s="24"/>
      <c r="AE47" s="51"/>
      <c r="AF47" s="24"/>
      <c r="AG47" s="24"/>
      <c r="AH47" s="24"/>
      <c r="AI47" s="24"/>
      <c r="AJ47" s="22"/>
    </row>
    <row r="48" spans="1:40" x14ac:dyDescent="0.25">
      <c r="A48" s="102" t="s">
        <v>92</v>
      </c>
      <c r="B48" s="101"/>
      <c r="C48" s="101"/>
      <c r="G48" s="102" t="s">
        <v>140</v>
      </c>
      <c r="H48" s="101"/>
      <c r="I48" s="101"/>
      <c r="J48" s="77"/>
      <c r="K48" s="261"/>
      <c r="L48" s="26">
        <f>'input-output'!F18</f>
        <v>2854</v>
      </c>
      <c r="M48" s="26">
        <f>'input-output'!G19</f>
        <v>7.5</v>
      </c>
      <c r="N48" s="26">
        <f>'input-output'!H18</f>
        <v>30</v>
      </c>
      <c r="O48" s="11">
        <f t="shared" si="2"/>
        <v>6.8</v>
      </c>
      <c r="P48" s="27">
        <f t="shared" si="3"/>
        <v>13.334528000000001</v>
      </c>
      <c r="Q48" s="27">
        <f t="shared" si="4"/>
        <v>13.147844608</v>
      </c>
      <c r="R48" s="11">
        <f t="shared" si="5"/>
        <v>8</v>
      </c>
      <c r="S48" s="11">
        <f t="shared" si="6"/>
        <v>15.3</v>
      </c>
      <c r="T48" s="11">
        <f t="shared" si="7"/>
        <v>0.99568000000000001</v>
      </c>
      <c r="U48" s="11">
        <f t="shared" si="8"/>
        <v>8.0099999999999998E-3</v>
      </c>
      <c r="V48" s="107">
        <f t="shared" si="9"/>
        <v>8.7000000000000001E-4</v>
      </c>
      <c r="W48" s="109">
        <v>2880</v>
      </c>
      <c r="X48" s="264"/>
      <c r="AC48" s="24"/>
      <c r="AD48" s="24"/>
      <c r="AE48" s="51"/>
      <c r="AF48" s="24"/>
      <c r="AG48" s="24"/>
      <c r="AH48" s="24"/>
      <c r="AI48" s="24"/>
      <c r="AJ48" s="22"/>
    </row>
    <row r="49" spans="1:39" ht="13" thickBot="1" x14ac:dyDescent="0.3">
      <c r="A49" s="102" t="s">
        <v>90</v>
      </c>
      <c r="B49" s="101"/>
      <c r="C49" s="101"/>
      <c r="G49" s="102" t="s">
        <v>90</v>
      </c>
      <c r="H49" s="101"/>
      <c r="I49" s="101"/>
      <c r="J49" s="77"/>
      <c r="K49" s="262"/>
      <c r="L49" s="26">
        <f>'input-output'!F19</f>
        <v>4298</v>
      </c>
      <c r="M49" s="26" t="e">
        <f>'input-output'!#REF!</f>
        <v>#REF!</v>
      </c>
      <c r="N49" s="26">
        <f>'input-output'!H19</f>
        <v>29</v>
      </c>
      <c r="O49" s="11" t="e">
        <f t="shared" si="2"/>
        <v>#REF!</v>
      </c>
      <c r="P49" s="27" t="e">
        <f t="shared" si="3"/>
        <v>#REF!</v>
      </c>
      <c r="Q49" s="27" t="e">
        <f t="shared" si="4"/>
        <v>#REF!</v>
      </c>
      <c r="R49" s="11" t="e">
        <f t="shared" si="5"/>
        <v>#REF!</v>
      </c>
      <c r="S49" s="11" t="e">
        <f t="shared" si="6"/>
        <v>#REF!</v>
      </c>
      <c r="T49" s="11">
        <f t="shared" si="7"/>
        <v>0.99597999999999998</v>
      </c>
      <c r="U49" s="11">
        <f t="shared" si="8"/>
        <v>8.1799999999999998E-3</v>
      </c>
      <c r="V49" s="107" t="e">
        <f t="shared" si="9"/>
        <v>#REF!</v>
      </c>
      <c r="W49" s="110">
        <v>4320</v>
      </c>
      <c r="X49" s="265"/>
      <c r="AC49" s="24"/>
      <c r="AD49" s="24"/>
      <c r="AE49" s="51"/>
      <c r="AF49" s="24"/>
      <c r="AG49" s="24"/>
      <c r="AH49" s="24"/>
      <c r="AI49" s="24"/>
      <c r="AJ49" s="22"/>
    </row>
    <row r="50" spans="1:39" ht="13.5" x14ac:dyDescent="0.35">
      <c r="A50" s="102" t="s">
        <v>91</v>
      </c>
      <c r="B50" s="94"/>
      <c r="C50" s="94"/>
      <c r="D50" s="34"/>
      <c r="E50" s="34"/>
      <c r="F50" s="34"/>
      <c r="G50" s="102" t="s">
        <v>91</v>
      </c>
      <c r="H50" s="94"/>
      <c r="I50" s="101"/>
      <c r="J50" s="1" t="s">
        <v>69</v>
      </c>
      <c r="R50" s="1" t="s">
        <v>72</v>
      </c>
      <c r="AC50" s="24"/>
      <c r="AD50" s="24"/>
      <c r="AE50" s="51"/>
      <c r="AF50" s="24"/>
      <c r="AG50" s="24"/>
      <c r="AH50" s="24"/>
      <c r="AI50" s="24"/>
      <c r="AJ50" s="22"/>
    </row>
    <row r="51" spans="1:39" ht="13.5" x14ac:dyDescent="0.35">
      <c r="J51" s="1" t="s">
        <v>70</v>
      </c>
      <c r="R51" s="1" t="s">
        <v>73</v>
      </c>
      <c r="AB51" s="24"/>
      <c r="AC51" s="24"/>
      <c r="AD51" s="34"/>
      <c r="AE51" s="34"/>
      <c r="AF51" s="34"/>
    </row>
    <row r="52" spans="1:39" ht="13.5" x14ac:dyDescent="0.35">
      <c r="B52" s="3"/>
      <c r="J52" s="1" t="s">
        <v>71</v>
      </c>
      <c r="P52" s="72">
        <f>ROUND(V27*1.65/(V27-1)/2.65,5)</f>
        <v>0.98048000000000002</v>
      </c>
      <c r="R52" s="24"/>
      <c r="S52" s="51"/>
      <c r="T52" s="24"/>
      <c r="U52" s="24"/>
      <c r="V52" s="24"/>
      <c r="AB52" s="34"/>
      <c r="AC52" s="53"/>
      <c r="AD52" s="34"/>
      <c r="AE52" s="34"/>
    </row>
    <row r="53" spans="1:39" x14ac:dyDescent="0.25">
      <c r="B53" s="1"/>
      <c r="AB53" s="24"/>
      <c r="AC53" s="51"/>
      <c r="AD53" s="24"/>
      <c r="AE53" s="24"/>
      <c r="AF53" s="24"/>
      <c r="AG53" s="24"/>
      <c r="AH53" s="25"/>
      <c r="AI53" s="34"/>
      <c r="AJ53" s="34"/>
      <c r="AK53" s="34"/>
    </row>
    <row r="54" spans="1:39" x14ac:dyDescent="0.25">
      <c r="B54" s="1"/>
      <c r="E54" s="83"/>
      <c r="J54" s="78" t="s">
        <v>87</v>
      </c>
      <c r="AB54" s="24"/>
      <c r="AC54" s="51"/>
      <c r="AD54" s="24"/>
      <c r="AE54" s="24"/>
      <c r="AF54" s="24"/>
      <c r="AG54" s="24"/>
      <c r="AH54" s="25"/>
      <c r="AI54" s="34"/>
      <c r="AJ54" s="34"/>
      <c r="AK54" s="34"/>
    </row>
    <row r="55" spans="1:39" x14ac:dyDescent="0.25">
      <c r="B55" s="1"/>
      <c r="J55" t="s">
        <v>85</v>
      </c>
      <c r="AB55" s="24"/>
      <c r="AC55" s="51"/>
      <c r="AD55" s="24"/>
      <c r="AE55" s="24"/>
      <c r="AF55" s="24"/>
      <c r="AG55" s="24"/>
      <c r="AH55" s="25"/>
      <c r="AI55" s="34"/>
      <c r="AJ55" s="34"/>
      <c r="AK55" s="34"/>
    </row>
    <row r="56" spans="1:39" x14ac:dyDescent="0.25">
      <c r="B56" s="1"/>
      <c r="AB56" s="24"/>
      <c r="AC56" s="51"/>
      <c r="AD56" s="24"/>
      <c r="AE56" s="24"/>
      <c r="AF56" s="24"/>
      <c r="AG56" s="24"/>
      <c r="AH56" s="25"/>
      <c r="AI56" s="34"/>
      <c r="AJ56" s="34"/>
      <c r="AK56" s="34"/>
    </row>
    <row r="57" spans="1:39" x14ac:dyDescent="0.25">
      <c r="AB57" s="34"/>
      <c r="AC57" s="34"/>
      <c r="AD57" s="24"/>
      <c r="AE57" s="51"/>
      <c r="AF57" s="24"/>
      <c r="AG57" s="24"/>
      <c r="AH57" s="24"/>
      <c r="AI57" s="24"/>
      <c r="AJ57" s="25"/>
      <c r="AK57" s="34"/>
      <c r="AL57" s="34"/>
      <c r="AM57" s="34"/>
    </row>
    <row r="58" spans="1:39" x14ac:dyDescent="0.25">
      <c r="J58" t="s">
        <v>88</v>
      </c>
      <c r="S58" t="s">
        <v>89</v>
      </c>
      <c r="AB58" s="24"/>
      <c r="AC58" s="51"/>
      <c r="AD58" s="24"/>
      <c r="AE58" s="24"/>
      <c r="AF58" s="24"/>
      <c r="AG58" s="24"/>
      <c r="AH58" s="25"/>
      <c r="AI58" s="34"/>
      <c r="AJ58" s="34"/>
      <c r="AK58" s="34"/>
    </row>
    <row r="59" spans="1:39" x14ac:dyDescent="0.25">
      <c r="AB59" s="24"/>
      <c r="AC59" s="51"/>
      <c r="AD59" s="24"/>
      <c r="AE59" s="24"/>
      <c r="AF59" s="24"/>
      <c r="AG59" s="24"/>
      <c r="AH59" s="25"/>
      <c r="AI59" s="34"/>
      <c r="AJ59" s="34"/>
      <c r="AK59" s="34"/>
    </row>
    <row r="60" spans="1:39" x14ac:dyDescent="0.25">
      <c r="AB60" s="24"/>
      <c r="AC60" s="51"/>
      <c r="AD60" s="24"/>
      <c r="AE60" s="24"/>
      <c r="AF60" s="24"/>
      <c r="AG60" s="24"/>
      <c r="AH60" s="25"/>
      <c r="AI60" s="34"/>
      <c r="AJ60" s="34"/>
      <c r="AK60" s="34"/>
    </row>
    <row r="61" spans="1:39" x14ac:dyDescent="0.25">
      <c r="AB61" s="34"/>
      <c r="AC61" s="24"/>
      <c r="AD61" s="34"/>
      <c r="AE61" s="24"/>
      <c r="AF61" s="24"/>
      <c r="AG61" s="24"/>
      <c r="AH61" s="52"/>
      <c r="AI61" s="24"/>
      <c r="AJ61" s="34"/>
      <c r="AK61" s="34"/>
    </row>
    <row r="62" spans="1:39" ht="13" thickBot="1" x14ac:dyDescent="0.3">
      <c r="AB62" s="34"/>
      <c r="AC62" s="34"/>
      <c r="AD62" s="34"/>
      <c r="AE62" s="34"/>
      <c r="AG62" s="34"/>
      <c r="AH62" s="34"/>
      <c r="AI62" s="34"/>
      <c r="AJ62" s="34"/>
      <c r="AK62" s="34"/>
    </row>
    <row r="63" spans="1:39" ht="13" x14ac:dyDescent="0.3">
      <c r="B63" s="134" t="s">
        <v>21</v>
      </c>
      <c r="C63" s="115"/>
      <c r="D63" s="115"/>
      <c r="E63" s="116"/>
      <c r="J63" s="10" t="s">
        <v>9</v>
      </c>
      <c r="AG63" s="34"/>
      <c r="AH63" s="34"/>
      <c r="AI63" s="34"/>
      <c r="AJ63" s="34"/>
      <c r="AK63" s="34"/>
    </row>
    <row r="64" spans="1:39" x14ac:dyDescent="0.25">
      <c r="B64" s="117" t="s">
        <v>84</v>
      </c>
      <c r="C64" s="34"/>
      <c r="D64" s="34"/>
      <c r="E64" s="170">
        <f>'input-output'!L7</f>
        <v>7</v>
      </c>
      <c r="J64" s="15" t="s">
        <v>1</v>
      </c>
      <c r="K64" s="13" t="s">
        <v>10</v>
      </c>
      <c r="L64" s="62" t="s">
        <v>77</v>
      </c>
      <c r="AG64" s="34"/>
      <c r="AH64" s="34"/>
      <c r="AI64" s="34"/>
      <c r="AJ64" s="34"/>
      <c r="AK64" s="34"/>
    </row>
    <row r="65" spans="2:37" ht="13.5" x14ac:dyDescent="0.35">
      <c r="B65" s="119" t="s">
        <v>22</v>
      </c>
      <c r="C65" s="34"/>
      <c r="D65" s="34"/>
      <c r="E65" s="120">
        <f>'input-output'!L8</f>
        <v>380.5</v>
      </c>
      <c r="J65" s="73" t="s">
        <v>83</v>
      </c>
      <c r="K65" s="14" t="s">
        <v>5</v>
      </c>
      <c r="L65" s="67" t="s">
        <v>78</v>
      </c>
      <c r="AG65" s="34"/>
      <c r="AH65" s="34"/>
      <c r="AI65" s="34"/>
      <c r="AJ65" s="34"/>
      <c r="AK65" s="34"/>
    </row>
    <row r="66" spans="2:37" x14ac:dyDescent="0.25">
      <c r="B66" s="119" t="s">
        <v>23</v>
      </c>
      <c r="C66" s="34"/>
      <c r="D66" s="34"/>
      <c r="E66" s="120">
        <f>'input-output'!L9</f>
        <v>30</v>
      </c>
      <c r="J66" s="12">
        <v>4</v>
      </c>
      <c r="K66" s="12">
        <v>1</v>
      </c>
      <c r="L66" s="60"/>
      <c r="AF66" s="34"/>
      <c r="AG66" s="34"/>
      <c r="AH66" s="34"/>
      <c r="AI66" s="34"/>
      <c r="AJ66" s="34"/>
    </row>
    <row r="67" spans="2:37" ht="13.5" x14ac:dyDescent="0.35">
      <c r="B67" s="119" t="s">
        <v>24</v>
      </c>
      <c r="C67" s="34"/>
      <c r="D67" s="34"/>
      <c r="E67" s="120">
        <f>'input-output'!L10</f>
        <v>348.8</v>
      </c>
      <c r="J67" s="12">
        <v>16</v>
      </c>
      <c r="K67" s="12">
        <v>0.99897000000000002</v>
      </c>
      <c r="L67" s="61">
        <f t="shared" ref="L67:L81" si="10">ROUND(-0.000005006464124*J67^2-0.00000484550743*J67+1.00033065352292,5)</f>
        <v>0.99897000000000002</v>
      </c>
      <c r="AF67" s="34"/>
      <c r="AG67" s="34"/>
      <c r="AH67" s="34"/>
      <c r="AI67" s="34"/>
      <c r="AJ67" s="34"/>
    </row>
    <row r="68" spans="2:37" ht="13.5" x14ac:dyDescent="0.35">
      <c r="B68" s="119" t="s">
        <v>25</v>
      </c>
      <c r="C68" s="34"/>
      <c r="D68" s="34"/>
      <c r="E68" s="120">
        <f>'input-output'!L11</f>
        <v>49.8</v>
      </c>
      <c r="J68" s="12">
        <v>17</v>
      </c>
      <c r="K68" s="12">
        <v>0.99880000000000002</v>
      </c>
      <c r="L68" s="61">
        <f t="shared" si="10"/>
        <v>0.99880000000000002</v>
      </c>
      <c r="AF68" s="34"/>
      <c r="AG68" s="34"/>
      <c r="AH68" s="34"/>
      <c r="AI68" s="34"/>
      <c r="AJ68" s="34"/>
    </row>
    <row r="69" spans="2:37" x14ac:dyDescent="0.25">
      <c r="B69" s="121" t="s">
        <v>26</v>
      </c>
      <c r="C69" s="34"/>
      <c r="D69" s="34"/>
      <c r="E69" s="118">
        <f>'input-output'!L12</f>
        <v>0.99568000000000001</v>
      </c>
      <c r="J69" s="12">
        <v>18</v>
      </c>
      <c r="K69" s="12">
        <v>0.99861999999999995</v>
      </c>
      <c r="L69" s="61">
        <f t="shared" si="10"/>
        <v>0.99861999999999995</v>
      </c>
    </row>
    <row r="70" spans="2:37" ht="13" thickBot="1" x14ac:dyDescent="0.3">
      <c r="B70" s="122" t="s">
        <v>27</v>
      </c>
      <c r="C70" s="123"/>
      <c r="D70" s="123"/>
      <c r="E70" s="124">
        <f>'input-output'!L13</f>
        <v>2.74</v>
      </c>
      <c r="J70" s="12">
        <v>19</v>
      </c>
      <c r="K70" s="12">
        <v>0.99843999999999999</v>
      </c>
      <c r="L70" s="61">
        <f t="shared" si="10"/>
        <v>0.99843000000000004</v>
      </c>
    </row>
    <row r="71" spans="2:37" x14ac:dyDescent="0.25">
      <c r="J71" s="12">
        <v>20</v>
      </c>
      <c r="K71" s="12">
        <v>0.99822999999999995</v>
      </c>
      <c r="L71" s="61">
        <f t="shared" si="10"/>
        <v>0.99822999999999995</v>
      </c>
    </row>
    <row r="72" spans="2:37" x14ac:dyDescent="0.25">
      <c r="J72" s="12">
        <v>21</v>
      </c>
      <c r="K72" s="12">
        <v>0.99802000000000002</v>
      </c>
      <c r="L72" s="61">
        <f t="shared" si="10"/>
        <v>0.99802000000000002</v>
      </c>
      <c r="Y72" s="1"/>
    </row>
    <row r="73" spans="2:37" x14ac:dyDescent="0.25">
      <c r="J73" s="12">
        <v>22</v>
      </c>
      <c r="K73" s="12">
        <v>0.99780000000000002</v>
      </c>
      <c r="L73" s="61">
        <f t="shared" si="10"/>
        <v>0.99780000000000002</v>
      </c>
    </row>
    <row r="74" spans="2:37" ht="13" thickBot="1" x14ac:dyDescent="0.3">
      <c r="J74" s="12">
        <v>23</v>
      </c>
      <c r="K74" s="12">
        <v>0.99756999999999996</v>
      </c>
      <c r="L74" s="61">
        <f t="shared" si="10"/>
        <v>0.99756999999999996</v>
      </c>
    </row>
    <row r="75" spans="2:37" x14ac:dyDescent="0.25">
      <c r="B75" s="266" t="s">
        <v>114</v>
      </c>
      <c r="C75" s="267"/>
      <c r="J75" s="12">
        <v>24</v>
      </c>
      <c r="K75" s="12">
        <v>0.99733000000000005</v>
      </c>
      <c r="L75" s="61">
        <f t="shared" si="10"/>
        <v>0.99733000000000005</v>
      </c>
    </row>
    <row r="76" spans="2:37" x14ac:dyDescent="0.25">
      <c r="B76" s="268"/>
      <c r="C76" s="269"/>
      <c r="J76" s="12">
        <v>25</v>
      </c>
      <c r="K76" s="12">
        <v>0.99707999999999997</v>
      </c>
      <c r="L76" s="61">
        <f t="shared" si="10"/>
        <v>0.99707999999999997</v>
      </c>
    </row>
    <row r="77" spans="2:37" x14ac:dyDescent="0.25">
      <c r="B77" s="125" t="s">
        <v>3</v>
      </c>
      <c r="C77" s="126" t="s">
        <v>105</v>
      </c>
      <c r="J77" s="12">
        <v>26</v>
      </c>
      <c r="K77" s="12">
        <v>0.99682000000000004</v>
      </c>
      <c r="L77" s="61">
        <f t="shared" si="10"/>
        <v>0.99682000000000004</v>
      </c>
    </row>
    <row r="78" spans="2:37" x14ac:dyDescent="0.25">
      <c r="B78" s="127" t="s">
        <v>8</v>
      </c>
      <c r="C78" s="128"/>
      <c r="J78" s="12">
        <v>27</v>
      </c>
      <c r="K78" s="12">
        <v>0.99655000000000005</v>
      </c>
      <c r="L78" s="61">
        <f t="shared" si="10"/>
        <v>0.99655000000000005</v>
      </c>
    </row>
    <row r="79" spans="2:37" x14ac:dyDescent="0.25">
      <c r="B79" s="127">
        <f t="shared" ref="B79:B85" si="11">K15</f>
        <v>4.75</v>
      </c>
      <c r="C79" s="129">
        <f t="shared" ref="C79:C84" si="12">O15</f>
        <v>100</v>
      </c>
      <c r="J79" s="12">
        <v>28</v>
      </c>
      <c r="K79" s="12">
        <v>0.99626999999999999</v>
      </c>
      <c r="L79" s="61">
        <f t="shared" si="10"/>
        <v>0.99626999999999999</v>
      </c>
    </row>
    <row r="80" spans="2:37" x14ac:dyDescent="0.25">
      <c r="B80" s="127">
        <f t="shared" si="11"/>
        <v>2.36</v>
      </c>
      <c r="C80" s="129">
        <f t="shared" si="12"/>
        <v>100</v>
      </c>
      <c r="J80" s="12">
        <v>29</v>
      </c>
      <c r="K80" s="12">
        <v>0.99597999999999998</v>
      </c>
      <c r="L80" s="61">
        <f t="shared" si="10"/>
        <v>0.99597999999999998</v>
      </c>
    </row>
    <row r="81" spans="2:30" x14ac:dyDescent="0.25">
      <c r="B81" s="127">
        <f t="shared" si="11"/>
        <v>1.18</v>
      </c>
      <c r="C81" s="129">
        <f t="shared" si="12"/>
        <v>100</v>
      </c>
      <c r="J81" s="12">
        <v>30</v>
      </c>
      <c r="K81" s="12">
        <v>0.99568000000000001</v>
      </c>
      <c r="L81" s="61">
        <f t="shared" si="10"/>
        <v>0.99568000000000001</v>
      </c>
    </row>
    <row r="82" spans="2:30" x14ac:dyDescent="0.25">
      <c r="B82" s="127">
        <f t="shared" si="11"/>
        <v>0.6</v>
      </c>
      <c r="C82" s="129">
        <f t="shared" si="12"/>
        <v>100</v>
      </c>
    </row>
    <row r="83" spans="2:30" x14ac:dyDescent="0.25">
      <c r="B83" s="127">
        <f t="shared" si="11"/>
        <v>0.3</v>
      </c>
      <c r="C83" s="129">
        <f t="shared" si="12"/>
        <v>100</v>
      </c>
      <c r="J83" s="10" t="s">
        <v>75</v>
      </c>
    </row>
    <row r="84" spans="2:30" x14ac:dyDescent="0.25">
      <c r="B84" s="127">
        <f t="shared" si="11"/>
        <v>0.15</v>
      </c>
      <c r="C84" s="129">
        <f t="shared" si="12"/>
        <v>99.3</v>
      </c>
      <c r="J84" s="15" t="s">
        <v>7</v>
      </c>
      <c r="K84" s="57" t="s">
        <v>76</v>
      </c>
      <c r="L84" s="62" t="s">
        <v>77</v>
      </c>
    </row>
    <row r="85" spans="2:30" ht="32.5" x14ac:dyDescent="0.25">
      <c r="B85" s="127">
        <f t="shared" si="11"/>
        <v>7.4999999999999997E-2</v>
      </c>
      <c r="C85" s="184">
        <f>O21</f>
        <v>98.6</v>
      </c>
      <c r="E85" s="167" t="s">
        <v>141</v>
      </c>
      <c r="J85" s="58"/>
      <c r="K85" s="59" t="s">
        <v>39</v>
      </c>
      <c r="L85" s="63" t="s">
        <v>78</v>
      </c>
    </row>
    <row r="86" spans="2:30" x14ac:dyDescent="0.25">
      <c r="B86" s="130">
        <f>V36</f>
        <v>5.0299999999999997E-2</v>
      </c>
      <c r="C86" s="131">
        <f>Q36</f>
        <v>87.587847167999996</v>
      </c>
      <c r="F86" s="55"/>
      <c r="J86" s="12">
        <v>4</v>
      </c>
      <c r="K86" s="12">
        <v>1.567E-2</v>
      </c>
      <c r="L86" s="60"/>
    </row>
    <row r="87" spans="2:30" x14ac:dyDescent="0.25">
      <c r="B87" s="130">
        <f t="shared" ref="B87:B99" si="13">V37</f>
        <v>3.635E-2</v>
      </c>
      <c r="C87" s="131">
        <f t="shared" ref="C87:C99" si="14">Q37</f>
        <v>81.787327488000003</v>
      </c>
      <c r="F87" s="55"/>
      <c r="J87" s="12">
        <v>16</v>
      </c>
      <c r="K87" s="12">
        <v>1.111E-2</v>
      </c>
      <c r="L87" s="61">
        <f t="shared" ref="L87:L101" si="15">ROUND(0.000000000347305*J87^4-0.00000010799529*J87^3+0.000010444897593*J87^2-0.00054383241282*J87+0.017557582729184,5)</f>
        <v>1.111E-2</v>
      </c>
    </row>
    <row r="88" spans="2:30" x14ac:dyDescent="0.25">
      <c r="B88" s="130">
        <f t="shared" si="13"/>
        <v>2.6380000000000001E-2</v>
      </c>
      <c r="C88" s="131">
        <f t="shared" si="14"/>
        <v>75.98680780799998</v>
      </c>
      <c r="F88" s="55"/>
      <c r="J88" s="12">
        <v>17</v>
      </c>
      <c r="K88" s="12">
        <v>1.0829999999999999E-2</v>
      </c>
      <c r="L88" s="61">
        <f t="shared" si="15"/>
        <v>1.0829999999999999E-2</v>
      </c>
    </row>
    <row r="89" spans="2:30" x14ac:dyDescent="0.25">
      <c r="B89" s="130">
        <f t="shared" si="13"/>
        <v>1.9120000000000002E-2</v>
      </c>
      <c r="C89" s="131">
        <f t="shared" si="14"/>
        <v>70.186288127999987</v>
      </c>
      <c r="F89" s="55"/>
      <c r="J89" s="12">
        <v>18</v>
      </c>
      <c r="K89" s="12">
        <v>1.056E-2</v>
      </c>
      <c r="L89" s="61">
        <f t="shared" si="15"/>
        <v>1.056E-2</v>
      </c>
    </row>
    <row r="90" spans="2:30" x14ac:dyDescent="0.25">
      <c r="B90" s="130">
        <f t="shared" si="13"/>
        <v>1.4030000000000001E-2</v>
      </c>
      <c r="C90" s="131">
        <f t="shared" si="14"/>
        <v>61.485508608000004</v>
      </c>
      <c r="F90" s="55"/>
      <c r="J90" s="12">
        <v>19</v>
      </c>
      <c r="K90" s="12">
        <v>1.03E-2</v>
      </c>
      <c r="L90" s="61">
        <f t="shared" si="15"/>
        <v>1.03E-2</v>
      </c>
      <c r="Z90" s="34"/>
      <c r="AA90" s="34"/>
      <c r="AB90" s="34"/>
      <c r="AC90" s="34"/>
      <c r="AD90" s="34"/>
    </row>
    <row r="91" spans="2:30" x14ac:dyDescent="0.25">
      <c r="B91" s="130">
        <f t="shared" si="13"/>
        <v>1.052E-2</v>
      </c>
      <c r="C91" s="131">
        <f t="shared" si="14"/>
        <v>53.751482368000005</v>
      </c>
      <c r="F91" s="55"/>
      <c r="J91" s="12">
        <v>20</v>
      </c>
      <c r="K91" s="12">
        <v>1.005E-2</v>
      </c>
      <c r="L91" s="61">
        <f t="shared" si="15"/>
        <v>1.005E-2</v>
      </c>
      <c r="Z91" s="34"/>
      <c r="AA91" s="34"/>
      <c r="AB91" s="34"/>
      <c r="AC91" s="34"/>
      <c r="AD91" s="34"/>
    </row>
    <row r="92" spans="2:30" x14ac:dyDescent="0.25">
      <c r="B92" s="130">
        <f t="shared" si="13"/>
        <v>7.6800000000000002E-3</v>
      </c>
      <c r="C92" s="131">
        <f t="shared" si="14"/>
        <v>45.050702848</v>
      </c>
      <c r="F92" s="55"/>
      <c r="J92" s="12">
        <v>21</v>
      </c>
      <c r="K92" s="12">
        <v>9.8099999999999993E-3</v>
      </c>
      <c r="L92" s="61">
        <f t="shared" si="15"/>
        <v>9.8099999999999993E-3</v>
      </c>
      <c r="Z92" s="34"/>
      <c r="AA92" s="34"/>
      <c r="AB92" s="34"/>
      <c r="AC92" s="34"/>
      <c r="AD92" s="34"/>
    </row>
    <row r="93" spans="2:30" x14ac:dyDescent="0.25">
      <c r="B93" s="130">
        <f t="shared" si="13"/>
        <v>5.5599999999999998E-3</v>
      </c>
      <c r="C93" s="131">
        <f t="shared" si="14"/>
        <v>37.316676607999995</v>
      </c>
      <c r="F93" s="55"/>
      <c r="J93" s="12">
        <v>22</v>
      </c>
      <c r="K93" s="12">
        <v>9.58E-3</v>
      </c>
      <c r="L93" s="61">
        <f t="shared" si="15"/>
        <v>9.58E-3</v>
      </c>
      <c r="V93" s="1"/>
      <c r="Z93" s="34"/>
      <c r="AA93" s="34"/>
      <c r="AB93" s="34"/>
      <c r="AC93" s="34"/>
      <c r="AD93" s="34"/>
    </row>
    <row r="94" spans="2:30" x14ac:dyDescent="0.25">
      <c r="B94" s="130">
        <f t="shared" si="13"/>
        <v>4.0499999999999998E-3</v>
      </c>
      <c r="C94" s="131">
        <f t="shared" si="14"/>
        <v>27.649143808000005</v>
      </c>
      <c r="D94" s="83"/>
      <c r="F94" s="55"/>
      <c r="J94" s="12">
        <v>23</v>
      </c>
      <c r="K94" s="12">
        <v>9.3600000000000003E-3</v>
      </c>
      <c r="L94" s="61">
        <f t="shared" si="15"/>
        <v>9.3600000000000003E-3</v>
      </c>
      <c r="V94" s="1"/>
      <c r="Z94" s="34"/>
      <c r="AA94" s="34"/>
      <c r="AB94" s="34"/>
      <c r="AC94" s="34"/>
      <c r="AD94" s="34"/>
    </row>
    <row r="95" spans="2:30" x14ac:dyDescent="0.25">
      <c r="B95" s="130">
        <f t="shared" si="13"/>
        <v>2.8900000000000002E-3</v>
      </c>
      <c r="C95" s="131">
        <f t="shared" si="14"/>
        <v>24.748883967999994</v>
      </c>
      <c r="F95" s="55"/>
      <c r="J95" s="12">
        <v>24</v>
      </c>
      <c r="K95" s="12">
        <v>9.1400000000000006E-3</v>
      </c>
      <c r="L95" s="61">
        <f t="shared" si="15"/>
        <v>9.1400000000000006E-3</v>
      </c>
      <c r="Z95" s="34"/>
      <c r="AA95" s="34"/>
      <c r="AB95" s="34"/>
      <c r="AC95" s="34"/>
      <c r="AD95" s="34"/>
    </row>
    <row r="96" spans="2:30" x14ac:dyDescent="0.25">
      <c r="B96" s="130">
        <f t="shared" si="13"/>
        <v>2.0999999999999999E-3</v>
      </c>
      <c r="C96" s="131">
        <f t="shared" si="14"/>
        <v>16.048104448</v>
      </c>
      <c r="F96" s="55"/>
      <c r="J96" s="12">
        <v>25</v>
      </c>
      <c r="K96" s="12">
        <v>8.94E-3</v>
      </c>
      <c r="L96" s="61">
        <f t="shared" si="15"/>
        <v>8.94E-3</v>
      </c>
      <c r="Z96" s="34"/>
      <c r="AA96" s="34"/>
      <c r="AB96" s="34"/>
      <c r="AC96" s="34"/>
      <c r="AD96" s="34"/>
    </row>
    <row r="97" spans="2:37" x14ac:dyDescent="0.25">
      <c r="B97" s="130">
        <f>V47</f>
        <v>1.1999999999999999E-3</v>
      </c>
      <c r="C97" s="131">
        <f t="shared" si="14"/>
        <v>15.081351168000001</v>
      </c>
      <c r="F97" s="55"/>
      <c r="J97" s="12">
        <v>26</v>
      </c>
      <c r="K97" s="12">
        <v>8.7399999999999995E-3</v>
      </c>
      <c r="L97" s="61">
        <f t="shared" si="15"/>
        <v>8.7399999999999995E-3</v>
      </c>
      <c r="AF97" s="34"/>
      <c r="AG97" s="34"/>
      <c r="AH97" s="34"/>
      <c r="AI97" s="34"/>
      <c r="AJ97" s="34"/>
    </row>
    <row r="98" spans="2:37" x14ac:dyDescent="0.25">
      <c r="B98" s="130">
        <f t="shared" si="13"/>
        <v>8.7000000000000001E-4</v>
      </c>
      <c r="C98" s="131">
        <f t="shared" si="14"/>
        <v>13.147844608</v>
      </c>
      <c r="F98" s="55"/>
      <c r="J98" s="12">
        <v>27</v>
      </c>
      <c r="K98" s="12">
        <v>8.5500000000000003E-3</v>
      </c>
      <c r="L98" s="61">
        <f t="shared" si="15"/>
        <v>8.5500000000000003E-3</v>
      </c>
      <c r="AF98" s="34"/>
      <c r="AG98" s="34"/>
      <c r="AH98" s="34"/>
      <c r="AI98" s="34"/>
      <c r="AJ98" s="34"/>
    </row>
    <row r="99" spans="2:37" ht="13" thickBot="1" x14ac:dyDescent="0.3">
      <c r="B99" s="132" t="e">
        <f t="shared" si="13"/>
        <v>#REF!</v>
      </c>
      <c r="C99" s="133" t="e">
        <f t="shared" si="14"/>
        <v>#REF!</v>
      </c>
      <c r="F99" s="55"/>
      <c r="J99" s="12">
        <v>28</v>
      </c>
      <c r="K99" s="12">
        <v>8.3599999999999994E-3</v>
      </c>
      <c r="L99" s="61">
        <f t="shared" si="15"/>
        <v>8.3599999999999994E-3</v>
      </c>
      <c r="W99" s="1"/>
      <c r="AF99" s="34"/>
      <c r="AG99" s="34"/>
      <c r="AH99" s="34"/>
      <c r="AI99" s="34"/>
      <c r="AJ99" s="34"/>
    </row>
    <row r="100" spans="2:37" x14ac:dyDescent="0.25">
      <c r="B100" s="24"/>
      <c r="C100" s="51"/>
      <c r="J100" s="12">
        <v>29</v>
      </c>
      <c r="K100" s="12">
        <v>8.1799999999999998E-3</v>
      </c>
      <c r="L100" s="61">
        <f t="shared" si="15"/>
        <v>8.1799999999999998E-3</v>
      </c>
      <c r="AF100" s="34"/>
      <c r="AG100" s="34"/>
      <c r="AH100" s="34"/>
      <c r="AI100" s="34"/>
      <c r="AJ100" s="34"/>
    </row>
    <row r="101" spans="2:37" x14ac:dyDescent="0.25">
      <c r="B101" s="24"/>
      <c r="C101" s="113"/>
      <c r="J101" s="12">
        <v>30</v>
      </c>
      <c r="K101" s="12">
        <v>8.0099999999999998E-3</v>
      </c>
      <c r="L101" s="61">
        <f t="shared" si="15"/>
        <v>8.0099999999999998E-3</v>
      </c>
      <c r="AF101" s="34"/>
      <c r="AG101" s="34"/>
      <c r="AH101" s="34"/>
      <c r="AI101" s="34"/>
      <c r="AJ101" s="34"/>
    </row>
    <row r="102" spans="2:37" x14ac:dyDescent="0.25">
      <c r="AF102" s="34"/>
      <c r="AG102" s="34"/>
      <c r="AH102" s="34"/>
      <c r="AI102" s="34"/>
      <c r="AJ102" s="34"/>
    </row>
    <row r="103" spans="2:37" ht="13.5" x14ac:dyDescent="0.35">
      <c r="J103" s="10" t="s">
        <v>74</v>
      </c>
      <c r="AF103" s="34"/>
      <c r="AG103" s="34"/>
      <c r="AH103" s="34"/>
      <c r="AI103" s="34"/>
      <c r="AJ103" s="34"/>
    </row>
    <row r="104" spans="2:37" x14ac:dyDescent="0.25">
      <c r="J104" s="68" t="s">
        <v>1</v>
      </c>
      <c r="K104" s="68"/>
      <c r="L104" s="68" t="s">
        <v>77</v>
      </c>
      <c r="AF104" s="34"/>
      <c r="AG104" s="34"/>
      <c r="AH104" s="34"/>
      <c r="AI104" s="34"/>
      <c r="AJ104" s="34"/>
    </row>
    <row r="105" spans="2:37" ht="13.5" x14ac:dyDescent="0.35">
      <c r="J105" s="69" t="s">
        <v>80</v>
      </c>
      <c r="K105" s="69" t="s">
        <v>81</v>
      </c>
      <c r="L105" s="69" t="s">
        <v>78</v>
      </c>
      <c r="AF105" s="34"/>
      <c r="AG105" s="34"/>
      <c r="AH105" s="34"/>
      <c r="AI105" s="34"/>
      <c r="AJ105" s="34"/>
    </row>
    <row r="106" spans="2:37" x14ac:dyDescent="0.25">
      <c r="J106" s="12">
        <v>15</v>
      </c>
      <c r="K106" s="12">
        <v>-1.1000000000000001</v>
      </c>
      <c r="L106" s="12">
        <f t="shared" ref="L106:L121" si="16">0.000122052869731*J106^4-0.00975992961287*J106^3+0.294922898309103*J106^2-3.75421710857083*J106+15.6302691116947</f>
        <v>-1.0861713106239481</v>
      </c>
      <c r="AG106" s="34"/>
      <c r="AH106" s="34"/>
      <c r="AI106" s="34"/>
      <c r="AJ106" s="34"/>
      <c r="AK106" s="34"/>
    </row>
    <row r="107" spans="2:37" x14ac:dyDescent="0.25">
      <c r="J107" s="12">
        <v>16</v>
      </c>
      <c r="K107" s="12">
        <v>-0.9</v>
      </c>
      <c r="L107" s="12">
        <f t="shared" si="16"/>
        <v>-0.91475748193291118</v>
      </c>
      <c r="AG107" s="34"/>
      <c r="AH107" s="34"/>
      <c r="AI107" s="34"/>
      <c r="AJ107" s="34"/>
      <c r="AK107" s="34"/>
    </row>
    <row r="108" spans="2:37" x14ac:dyDescent="0.25">
      <c r="J108" s="12">
        <v>17</v>
      </c>
      <c r="K108" s="12">
        <v>-0.7</v>
      </c>
      <c r="L108" s="12">
        <f t="shared" si="16"/>
        <v>-0.71526057790609521</v>
      </c>
      <c r="AG108" s="34"/>
      <c r="AH108" s="34"/>
      <c r="AI108" s="34"/>
      <c r="AJ108" s="34"/>
      <c r="AK108" s="34"/>
    </row>
    <row r="109" spans="2:37" x14ac:dyDescent="0.25">
      <c r="J109" s="12">
        <v>18</v>
      </c>
      <c r="K109" s="12">
        <v>-0.5</v>
      </c>
      <c r="L109" s="12">
        <f t="shared" si="16"/>
        <v>-0.49790723980724216</v>
      </c>
      <c r="AF109" s="34"/>
      <c r="AG109" s="34"/>
      <c r="AH109" s="34"/>
      <c r="AI109" s="34"/>
      <c r="AJ109" s="34"/>
    </row>
    <row r="110" spans="2:37" x14ac:dyDescent="0.25">
      <c r="J110" s="12">
        <v>19</v>
      </c>
      <c r="K110" s="12">
        <v>-0.3</v>
      </c>
      <c r="L110" s="12">
        <f t="shared" si="16"/>
        <v>-0.26999484002655727</v>
      </c>
      <c r="AF110" s="34"/>
      <c r="AG110" s="34"/>
      <c r="AH110" s="34"/>
      <c r="AI110" s="34"/>
      <c r="AJ110" s="34"/>
    </row>
    <row r="111" spans="2:37" x14ac:dyDescent="0.25">
      <c r="J111" s="12">
        <v>20</v>
      </c>
      <c r="K111" s="12">
        <v>0</v>
      </c>
      <c r="L111" s="12">
        <f t="shared" si="16"/>
        <v>-3.5891482080687709E-2</v>
      </c>
      <c r="AF111" s="34"/>
      <c r="AG111" s="34"/>
      <c r="AH111" s="34"/>
      <c r="AI111" s="34"/>
      <c r="AJ111" s="34"/>
    </row>
    <row r="112" spans="2:37" x14ac:dyDescent="0.25">
      <c r="J112" s="12">
        <v>21</v>
      </c>
      <c r="K112" s="12">
        <v>0.2</v>
      </c>
      <c r="L112" s="12">
        <f t="shared" si="16"/>
        <v>0.20296399938724896</v>
      </c>
    </row>
    <row r="113" spans="10:26" x14ac:dyDescent="0.25">
      <c r="J113" s="12">
        <v>22</v>
      </c>
      <c r="K113" s="12">
        <v>0.4</v>
      </c>
      <c r="L113" s="12">
        <f t="shared" si="16"/>
        <v>0.44806203860768612</v>
      </c>
      <c r="V113" s="24"/>
    </row>
    <row r="114" spans="10:26" x14ac:dyDescent="0.25">
      <c r="J114" s="12">
        <v>23</v>
      </c>
      <c r="K114" s="12">
        <v>0.7</v>
      </c>
      <c r="L114" s="12">
        <f t="shared" si="16"/>
        <v>0.70382233868457256</v>
      </c>
    </row>
    <row r="115" spans="10:26" x14ac:dyDescent="0.25">
      <c r="J115" s="12">
        <v>24</v>
      </c>
      <c r="K115" s="12">
        <v>1</v>
      </c>
      <c r="L115" s="12">
        <f t="shared" si="16"/>
        <v>0.97759387159550037</v>
      </c>
    </row>
    <row r="116" spans="10:26" x14ac:dyDescent="0.25">
      <c r="J116" s="12">
        <v>25</v>
      </c>
      <c r="K116" s="12">
        <v>1.3</v>
      </c>
      <c r="L116" s="12">
        <f t="shared" si="16"/>
        <v>1.2796548781914492</v>
      </c>
      <c r="W116" s="1"/>
    </row>
    <row r="117" spans="10:26" x14ac:dyDescent="0.25">
      <c r="J117" s="12">
        <v>26</v>
      </c>
      <c r="K117" s="12">
        <v>1.65</v>
      </c>
      <c r="L117" s="12">
        <f t="shared" si="16"/>
        <v>1.6232128681970988</v>
      </c>
      <c r="W117" s="51"/>
      <c r="Z117" s="24"/>
    </row>
    <row r="118" spans="10:26" x14ac:dyDescent="0.25">
      <c r="J118" s="12">
        <v>27</v>
      </c>
      <c r="K118" s="12">
        <v>2</v>
      </c>
      <c r="L118" s="12">
        <f t="shared" si="16"/>
        <v>2.024404620210559</v>
      </c>
      <c r="W118" s="25"/>
      <c r="Z118" s="34"/>
    </row>
    <row r="119" spans="10:26" x14ac:dyDescent="0.25">
      <c r="J119" s="12">
        <v>28</v>
      </c>
      <c r="K119" s="12">
        <v>2.5</v>
      </c>
      <c r="L119" s="12">
        <f t="shared" si="16"/>
        <v>2.5022961817035121</v>
      </c>
    </row>
    <row r="120" spans="10:26" x14ac:dyDescent="0.25">
      <c r="J120" s="12">
        <v>29</v>
      </c>
      <c r="K120" s="12">
        <v>3.05</v>
      </c>
      <c r="L120" s="12">
        <f t="shared" si="16"/>
        <v>3.0788828690212551</v>
      </c>
    </row>
    <row r="121" spans="10:26" x14ac:dyDescent="0.25">
      <c r="J121" s="12">
        <v>30</v>
      </c>
      <c r="K121" s="12">
        <v>3.8</v>
      </c>
      <c r="L121" s="12">
        <f t="shared" si="16"/>
        <v>3.7790892673825009</v>
      </c>
    </row>
  </sheetData>
  <mergeCells count="19">
    <mergeCell ref="K7:R7"/>
    <mergeCell ref="T7:V7"/>
    <mergeCell ref="K8:R8"/>
    <mergeCell ref="T8:V8"/>
    <mergeCell ref="L30:R30"/>
    <mergeCell ref="L10:R10"/>
    <mergeCell ref="S10:V10"/>
    <mergeCell ref="M27:N27"/>
    <mergeCell ref="Q27:R27"/>
    <mergeCell ref="K9:R9"/>
    <mergeCell ref="U9:V9"/>
    <mergeCell ref="B8:E8"/>
    <mergeCell ref="B10:E10"/>
    <mergeCell ref="K35:K49"/>
    <mergeCell ref="X47:X49"/>
    <mergeCell ref="B75:C76"/>
    <mergeCell ref="F8:F11"/>
    <mergeCell ref="G13:I14"/>
    <mergeCell ref="G8:I11"/>
  </mergeCells>
  <pageMargins left="1.1000000000000001" right="0.75" top="0.5" bottom="0.5" header="0.5" footer="0.5"/>
  <pageSetup paperSize="9" orientation="portrait" blackAndWhite="1" horizontalDpi="1200" verticalDpi="1200" r:id="rId1"/>
  <headerFooter alignWithMargins="0"/>
  <rowBreaks count="1" manualBreakCount="1">
    <brk id="50" max="16383" man="1"/>
  </rowBreaks>
  <colBreaks count="1" manualBreakCount="1">
    <brk id="9" max="1048575" man="1"/>
  </colBreaks>
  <ignoredErrors>
    <ignoredError sqref="M15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L16"/>
  <sheetViews>
    <sheetView workbookViewId="0">
      <selection activeCell="K18" sqref="K18"/>
    </sheetView>
  </sheetViews>
  <sheetFormatPr defaultRowHeight="12.5" x14ac:dyDescent="0.25"/>
  <cols>
    <col min="1" max="1" width="14.81640625" bestFit="1" customWidth="1"/>
    <col min="2" max="2" width="18.81640625" customWidth="1"/>
    <col min="3" max="3" width="19" customWidth="1"/>
    <col min="4" max="4" width="17.54296875" customWidth="1"/>
    <col min="5" max="5" width="17" customWidth="1"/>
    <col min="6" max="6" width="15" customWidth="1"/>
    <col min="7" max="7" width="15.54296875" customWidth="1"/>
    <col min="8" max="9" width="15" bestFit="1" customWidth="1"/>
    <col min="10" max="10" width="10.81640625" bestFit="1" customWidth="1"/>
  </cols>
  <sheetData>
    <row r="2" spans="1:12" ht="13" thickBot="1" x14ac:dyDescent="0.3"/>
    <row r="3" spans="1:12" ht="13" x14ac:dyDescent="0.3">
      <c r="A3" s="151" t="s">
        <v>115</v>
      </c>
      <c r="B3" s="148" t="s">
        <v>112</v>
      </c>
      <c r="C3" s="148" t="s">
        <v>113</v>
      </c>
      <c r="D3" s="286" t="s">
        <v>126</v>
      </c>
      <c r="E3" s="287"/>
      <c r="F3" s="286" t="s">
        <v>127</v>
      </c>
      <c r="G3" s="287"/>
      <c r="H3" s="152" t="s">
        <v>128</v>
      </c>
      <c r="I3" s="152" t="s">
        <v>129</v>
      </c>
      <c r="J3" s="153" t="s">
        <v>130</v>
      </c>
    </row>
    <row r="4" spans="1:12" ht="13" x14ac:dyDescent="0.3">
      <c r="A4" s="149" t="s">
        <v>116</v>
      </c>
      <c r="B4" s="114">
        <v>4.75</v>
      </c>
      <c r="C4" s="114">
        <v>2</v>
      </c>
      <c r="D4" s="114">
        <f>INDEX(main!$B$79:$C$99,MATCH(B4,main!$B$79:$B$99,-1),1)</f>
        <v>4.75</v>
      </c>
      <c r="E4" s="114">
        <f>INDEX(main!$B$79:$C$99,MATCH(B4,main!$B$79:$B$99,-1)+1,1)</f>
        <v>2.36</v>
      </c>
      <c r="F4" s="114">
        <f>INDEX(main!$B$79:$C$99,MATCH(B4,main!$B$79:$B$99,-1),2)</f>
        <v>100</v>
      </c>
      <c r="G4" s="114">
        <f>INDEX(main!$B$79:$C$99,MATCH(B4,main!$B$79:$B$99,-1)+1,2)</f>
        <v>100</v>
      </c>
      <c r="H4" s="114" cm="1">
        <f t="array" ref="H4">TREND(F4:G4,LOG10(D4:E4),LOG10(B4),TRUE)</f>
        <v>100</v>
      </c>
      <c r="I4" s="114">
        <f>H5</f>
        <v>100</v>
      </c>
      <c r="J4" s="154">
        <f>ROUND(H4-I4,2)</f>
        <v>0</v>
      </c>
    </row>
    <row r="5" spans="1:12" ht="13" x14ac:dyDescent="0.3">
      <c r="A5" s="149" t="s">
        <v>117</v>
      </c>
      <c r="B5" s="114">
        <v>2</v>
      </c>
      <c r="C5" s="114">
        <v>0.42499999999999999</v>
      </c>
      <c r="D5" s="114">
        <f>INDEX(main!$B$79:$C$99,MATCH(B5,main!$B$79:$B$99,-1),1)</f>
        <v>2.36</v>
      </c>
      <c r="E5" s="114">
        <f>INDEX(main!$B$79:$C$99,MATCH(B5,main!$B$79:$B$99,-1)+1,1)</f>
        <v>1.18</v>
      </c>
      <c r="F5" s="114">
        <f>INDEX(main!$B$79:$C$99,MATCH(B5,main!$B$79:$B$99,-1),2)</f>
        <v>100</v>
      </c>
      <c r="G5" s="114">
        <f>INDEX(main!$B$79:$C$99,MATCH(B5,main!$B$79:$B$99,-1)+1,2)</f>
        <v>100</v>
      </c>
      <c r="H5" s="114" cm="1">
        <f t="array" ref="H5">TREND(F5:G5,LOG10(D5:E5),LOG10(B5),TRUE)</f>
        <v>100</v>
      </c>
      <c r="I5" s="114">
        <f t="shared" ref="I5:I9" si="0">H6</f>
        <v>100</v>
      </c>
      <c r="J5" s="154">
        <f t="shared" ref="J5:J9" si="1">ROUND(H5-I5,2)</f>
        <v>0</v>
      </c>
    </row>
    <row r="6" spans="1:12" ht="13" x14ac:dyDescent="0.3">
      <c r="A6" s="149" t="s">
        <v>108</v>
      </c>
      <c r="B6" s="114">
        <v>0.42499999999999999</v>
      </c>
      <c r="C6" s="114">
        <v>7.4999999999999997E-2</v>
      </c>
      <c r="D6" s="114">
        <f>INDEX(main!$B$79:$C$99,MATCH(B6,main!$B$79:$B$99,-1),1)</f>
        <v>0.6</v>
      </c>
      <c r="E6" s="114">
        <f>INDEX(main!$B$79:$C$99,MATCH(B6,main!$B$79:$B$99,-1)+1,1)</f>
        <v>0.3</v>
      </c>
      <c r="F6" s="114">
        <f>INDEX(main!$B$79:$C$99,MATCH(B6,main!$B$79:$B$99,-1),2)</f>
        <v>100</v>
      </c>
      <c r="G6" s="114">
        <f>INDEX(main!$B$79:$C$99,MATCH(B6,main!$B$79:$B$99,-1)+1,2)</f>
        <v>100</v>
      </c>
      <c r="H6" s="114" cm="1">
        <f t="array" ref="H6">TREND(F6:G6,LOG10(D6:E6),LOG10(B6),TRUE)</f>
        <v>100</v>
      </c>
      <c r="I6" s="114">
        <f t="shared" si="0"/>
        <v>98.6</v>
      </c>
      <c r="J6" s="154">
        <f t="shared" si="1"/>
        <v>1.4</v>
      </c>
    </row>
    <row r="7" spans="1:12" ht="13.5" thickBot="1" x14ac:dyDescent="0.35">
      <c r="A7" s="149" t="s">
        <v>118</v>
      </c>
      <c r="B7" s="114">
        <v>7.4999999999999997E-2</v>
      </c>
      <c r="C7" s="114">
        <v>5.0000000000000001E-3</v>
      </c>
      <c r="D7" s="114">
        <f>INDEX(main!$B$79:$C$99,MATCH(B7,main!$B$79:$B$99,-1),1)</f>
        <v>7.4999999999999997E-2</v>
      </c>
      <c r="E7" s="114">
        <f>INDEX(main!$B$79:$C$99,MATCH(B7,main!$B$79:$B$99,-1)+1,1)</f>
        <v>5.0299999999999997E-2</v>
      </c>
      <c r="F7" s="114">
        <f>INDEX(main!$B$79:$C$99,MATCH(B7,main!$B$79:$B$99,-1),2)</f>
        <v>98.6</v>
      </c>
      <c r="G7" s="114">
        <f>INDEX(main!$B$79:$C$99,MATCH(B7,main!$B$79:$B$99,-1)+1,2)</f>
        <v>87.587847167999996</v>
      </c>
      <c r="H7" s="114" cm="1">
        <f t="array" ref="H7">TREND(F7:G7,LOG10(D7:E7),LOG10(B7),TRUE)</f>
        <v>98.6</v>
      </c>
      <c r="I7" s="114">
        <f t="shared" si="0"/>
        <v>34.077901043807685</v>
      </c>
      <c r="J7" s="154">
        <f t="shared" si="1"/>
        <v>64.52</v>
      </c>
    </row>
    <row r="8" spans="1:12" ht="13" x14ac:dyDescent="0.3">
      <c r="A8" s="149" t="s">
        <v>119</v>
      </c>
      <c r="B8" s="114">
        <v>5.0000000000000001E-3</v>
      </c>
      <c r="C8" s="114">
        <v>1E-3</v>
      </c>
      <c r="D8" s="114">
        <f>INDEX(main!$B$79:$C$99,MATCH(B8,main!$B$79:$B$99,-1),1)</f>
        <v>5.5599999999999998E-3</v>
      </c>
      <c r="E8" s="114">
        <f>INDEX(main!$B$79:$C$99,MATCH(B8,main!$B$79:$B$99,-1)+1,1)</f>
        <v>4.0499999999999998E-3</v>
      </c>
      <c r="F8" s="114">
        <f>INDEX(main!$B$79:$C$99,MATCH(B8,main!$B$79:$B$99,-1),2)</f>
        <v>37.316676607999995</v>
      </c>
      <c r="G8" s="114">
        <f>INDEX(main!$B$79:$C$99,MATCH(B8,main!$B$79:$B$99,-1)+1,2)</f>
        <v>27.649143808000005</v>
      </c>
      <c r="H8" s="114" cm="1">
        <f t="array" ref="H8">TREND(F8:G8,LOG10(D8:E8),LOG10(B8),TRUE)</f>
        <v>34.077901043807685</v>
      </c>
      <c r="I8" s="114">
        <f t="shared" si="0"/>
        <v>13.985151300711983</v>
      </c>
      <c r="J8" s="154">
        <f t="shared" si="1"/>
        <v>20.09</v>
      </c>
      <c r="K8" s="288" t="s">
        <v>138</v>
      </c>
      <c r="L8" s="164">
        <f>J9+J8</f>
        <v>34.08</v>
      </c>
    </row>
    <row r="9" spans="1:12" ht="13.5" thickBot="1" x14ac:dyDescent="0.35">
      <c r="A9" s="150" t="s">
        <v>120</v>
      </c>
      <c r="B9" s="138">
        <v>1E-3</v>
      </c>
      <c r="C9" s="138">
        <v>0</v>
      </c>
      <c r="D9" s="138">
        <f>INDEX(main!$B$79:$C$99,MATCH(B9,main!$B$79:$B$99,-1),1)</f>
        <v>1.1999999999999999E-3</v>
      </c>
      <c r="E9" s="138">
        <f>INDEX(main!$B$79:$C$99,MATCH(B9,main!$B$79:$B$99,-1)+1,1)</f>
        <v>8.7000000000000001E-4</v>
      </c>
      <c r="F9" s="138">
        <f>INDEX(main!$B$79:$C$99,MATCH(B9,main!$B$79:$B$99,-1),2)</f>
        <v>15.081351168000001</v>
      </c>
      <c r="G9" s="138">
        <f>INDEX(main!$B$79:$C$99,MATCH(B9,main!$B$79:$B$99,-1)+1,2)</f>
        <v>13.147844608</v>
      </c>
      <c r="H9" s="138" cm="1">
        <f t="array" ref="H9">TREND(F9:G9,LOG10(D9:E9),LOG10(B9),TRUE)</f>
        <v>13.985151300711983</v>
      </c>
      <c r="I9" s="138">
        <f t="shared" si="0"/>
        <v>0</v>
      </c>
      <c r="J9" s="155">
        <f t="shared" si="1"/>
        <v>13.99</v>
      </c>
      <c r="K9" s="289"/>
      <c r="L9" s="163"/>
    </row>
    <row r="10" spans="1:12" ht="13.5" thickBot="1" x14ac:dyDescent="0.35">
      <c r="G10" s="146" t="s">
        <v>131</v>
      </c>
      <c r="H10" s="147">
        <v>0</v>
      </c>
    </row>
    <row r="11" spans="1:12" ht="13" thickBot="1" x14ac:dyDescent="0.3"/>
    <row r="12" spans="1:12" ht="13" x14ac:dyDescent="0.25">
      <c r="A12" s="139" t="s">
        <v>105</v>
      </c>
      <c r="B12" s="286" t="s">
        <v>132</v>
      </c>
      <c r="C12" s="287"/>
      <c r="D12" s="286" t="s">
        <v>121</v>
      </c>
      <c r="E12" s="287"/>
      <c r="F12" s="177" t="s">
        <v>122</v>
      </c>
      <c r="G12" s="177" t="s">
        <v>123</v>
      </c>
      <c r="H12" s="135" t="s">
        <v>124</v>
      </c>
    </row>
    <row r="13" spans="1:12" ht="13" x14ac:dyDescent="0.25">
      <c r="A13" s="140">
        <v>10</v>
      </c>
      <c r="B13" s="141">
        <f>INDEX(main!$B$79:$C$99,MATCH(A13,main!$C$79:$C$99,-1),2)</f>
        <v>13.147844608</v>
      </c>
      <c r="C13" s="141" t="e">
        <f>INDEX(main!$B$79:$C$99,MATCH(A13,main!$C$79:$C$99,-1)+1,2)</f>
        <v>#REF!</v>
      </c>
      <c r="D13" s="141">
        <f>INDEX(main!$B$79:$C$99,MATCH(A13,main!$C$79:$C$99,-1),1)</f>
        <v>8.7000000000000001E-4</v>
      </c>
      <c r="E13" s="141" t="e">
        <f>INDEX(main!$B$79:$C$99,MATCH(A13,main!$C$79:$C$99,-1)+1,1)</f>
        <v>#REF!</v>
      </c>
      <c r="F13" s="175" t="str" cm="1">
        <f t="array" ref="F13">IF(ISERROR(E13)=FALSE,ROUND(10^TREND(LOG10(D13:E13),B13:C13,A13),3),"---")</f>
        <v>---</v>
      </c>
      <c r="G13" s="175"/>
      <c r="H13" s="136"/>
    </row>
    <row r="14" spans="1:12" ht="13" x14ac:dyDescent="0.25">
      <c r="A14" s="140">
        <v>30</v>
      </c>
      <c r="B14" s="141">
        <f>INDEX(main!$B$79:$C$99,MATCH(A14,main!$C$79:$C$99,-1),2)</f>
        <v>37.316676607999995</v>
      </c>
      <c r="C14" s="141">
        <f>INDEX(main!$B$79:$C$99,MATCH(A14,main!$C$79:$C$99,-1)+1,2)</f>
        <v>27.649143808000005</v>
      </c>
      <c r="D14" s="141">
        <f>INDEX(main!$B$79:$C$99,MATCH(A14,main!$C$79:$C$99,-1),1)</f>
        <v>5.5599999999999998E-3</v>
      </c>
      <c r="E14" s="141">
        <f>INDEX(main!$B$79:$C$99,MATCH(A14,main!$C$79:$C$99,-1)+1,1)</f>
        <v>4.0499999999999998E-3</v>
      </c>
      <c r="F14" s="175" cm="1">
        <f t="array" ref="F14">IF(ISERROR(E14)=FALSE,ROUND(10^TREND(LOG10(D14:E14),B14:C14,A14),3),"---")</f>
        <v>4.0000000000000001E-3</v>
      </c>
      <c r="G14" s="176" t="str">
        <f>IF(OR(F13="---",F15="---"),"---",ROUND(F15/F13,2))</f>
        <v>---</v>
      </c>
      <c r="H14" s="137" t="str">
        <f>IF(OR(F13="---",F14="---",F15="---"),"---",ROUND(F14^2/(F15*F13),2))</f>
        <v>---</v>
      </c>
    </row>
    <row r="15" spans="1:12" ht="13" x14ac:dyDescent="0.25">
      <c r="A15" s="140">
        <v>60</v>
      </c>
      <c r="B15" s="141">
        <f>INDEX(main!$B$79:$C$99,MATCH(A15,main!$C$79:$C$99,-1),2)</f>
        <v>61.485508608000004</v>
      </c>
      <c r="C15" s="141">
        <f>INDEX(main!$B$79:$C$99,MATCH(A15,main!$C$79:$C$99,-1)+1,2)</f>
        <v>53.751482368000005</v>
      </c>
      <c r="D15" s="141">
        <f>INDEX(main!$B$79:$C$99,MATCH(A15,main!$C$79:$C$99,-1),1)</f>
        <v>1.4030000000000001E-2</v>
      </c>
      <c r="E15" s="141">
        <f>INDEX(main!$B$79:$C$99,MATCH(A15,main!$C$79:$C$99,-1)+1,1)</f>
        <v>1.052E-2</v>
      </c>
      <c r="F15" s="175" cm="1">
        <f t="array" ref="F15">IF(ISERROR(E15)=FALSE,ROUND(10^TREND(LOG10(D15:E15),B15:C15,A15),3),"---")</f>
        <v>1.2999999999999999E-2</v>
      </c>
      <c r="G15" s="175"/>
      <c r="H15" s="136"/>
    </row>
    <row r="16" spans="1:12" ht="13.5" thickBot="1" x14ac:dyDescent="0.3">
      <c r="A16" s="142">
        <v>50</v>
      </c>
      <c r="B16" s="178">
        <f>INDEX(main!$B$79:$C$99,MATCH(A16,main!$C$79:$C$99,-1),2)</f>
        <v>53.751482368000005</v>
      </c>
      <c r="C16" s="178">
        <f>INDEX(main!$B$79:$C$99,MATCH(A16,main!$C$79:$C$99,-1)+1,2)</f>
        <v>45.050702848</v>
      </c>
      <c r="D16" s="178">
        <f>INDEX(main!$B$79:$C$99,MATCH(A16,main!$C$79:$C$99,-1),1)</f>
        <v>1.052E-2</v>
      </c>
      <c r="E16" s="178">
        <f>INDEX(main!$B$79:$C$99,MATCH(A16,main!$C$79:$C$99,-1)+1,1)</f>
        <v>7.6800000000000002E-3</v>
      </c>
      <c r="F16" s="179" cm="1">
        <f t="array" ref="F16">IF(ISERROR(E16)=FALSE,ROUND(10^TREND(LOG10(D16:E16),B16:C16,A16),3),"---")</f>
        <v>8.9999999999999993E-3</v>
      </c>
      <c r="G16" s="180"/>
      <c r="H16" s="181"/>
    </row>
  </sheetData>
  <mergeCells count="5">
    <mergeCell ref="B12:C12"/>
    <mergeCell ref="D12:E12"/>
    <mergeCell ref="D3:E3"/>
    <mergeCell ref="F3:G3"/>
    <mergeCell ref="K8:K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50"/>
  <sheetViews>
    <sheetView view="pageBreakPreview" topLeftCell="A49" zoomScaleNormal="100" zoomScaleSheetLayoutView="100" workbookViewId="0">
      <selection activeCell="D67" sqref="D67"/>
    </sheetView>
  </sheetViews>
  <sheetFormatPr defaultRowHeight="12.5" x14ac:dyDescent="0.25"/>
  <cols>
    <col min="4" max="4" width="9.26953125" bestFit="1" customWidth="1"/>
    <col min="7" max="7" width="11.1796875" customWidth="1"/>
    <col min="8" max="8" width="7.7265625" customWidth="1"/>
    <col min="9" max="9" width="8.1796875" customWidth="1"/>
  </cols>
  <sheetData>
    <row r="1" spans="1:9" ht="14" x14ac:dyDescent="0.3">
      <c r="B1" s="4"/>
      <c r="C1" s="4"/>
      <c r="D1" s="4"/>
      <c r="E1" s="4"/>
      <c r="F1" s="4"/>
      <c r="G1" s="4"/>
      <c r="H1" s="4"/>
    </row>
    <row r="2" spans="1:9" ht="14" x14ac:dyDescent="0.3">
      <c r="A2" s="4"/>
      <c r="B2" s="4"/>
      <c r="C2" s="5"/>
      <c r="D2" s="4"/>
      <c r="E2" s="4"/>
      <c r="F2" s="4"/>
      <c r="G2" s="4"/>
      <c r="H2" s="4"/>
    </row>
    <row r="3" spans="1:9" ht="13" x14ac:dyDescent="0.3">
      <c r="D3" s="6"/>
    </row>
    <row r="4" spans="1:9" ht="13" x14ac:dyDescent="0.3">
      <c r="D4" s="9"/>
    </row>
    <row r="8" spans="1:9" ht="12.75" customHeight="1" x14ac:dyDescent="0.25">
      <c r="A8" s="84" t="s">
        <v>93</v>
      </c>
      <c r="B8" s="156" t="str">
        <f>main!B8</f>
        <v>1102-05882/CE/19-20 Dated 23/01/2020</v>
      </c>
      <c r="C8" s="157"/>
      <c r="D8" s="157"/>
      <c r="E8" s="157"/>
      <c r="F8" s="270" t="s">
        <v>45</v>
      </c>
      <c r="G8" s="291" t="str">
        <f>main!G8</f>
        <v>NE-003 (28+5B) MULTISTORIED COMMERCIAL BUILDING</v>
      </c>
      <c r="H8" s="291"/>
      <c r="I8" s="291"/>
    </row>
    <row r="9" spans="1:9" x14ac:dyDescent="0.25">
      <c r="A9" s="90" t="s">
        <v>96</v>
      </c>
      <c r="B9" s="173" t="str">
        <f>main!B9</f>
        <v>NEXTEON DEVELOPMENT LTD., 339/B, 1st Floor, Tejgaon I/A, Dhaka-1208</v>
      </c>
      <c r="C9" s="156"/>
      <c r="D9" s="156"/>
      <c r="E9" s="156"/>
      <c r="F9" s="270"/>
      <c r="G9" s="291"/>
      <c r="H9" s="291"/>
      <c r="I9" s="291"/>
    </row>
    <row r="10" spans="1:9" x14ac:dyDescent="0.25">
      <c r="A10" s="84" t="s">
        <v>94</v>
      </c>
      <c r="B10" s="156" t="str">
        <f>main!B10</f>
        <v>Letter Dated 23/01/2020</v>
      </c>
      <c r="C10" s="156"/>
      <c r="D10" s="156"/>
      <c r="E10" s="156"/>
      <c r="F10" s="270"/>
      <c r="G10" s="291"/>
      <c r="H10" s="291"/>
      <c r="I10" s="291"/>
    </row>
    <row r="11" spans="1:9" x14ac:dyDescent="0.25">
      <c r="A11" s="98" t="s">
        <v>97</v>
      </c>
      <c r="B11" s="97"/>
      <c r="C11" s="156">
        <f>main!C11</f>
        <v>2</v>
      </c>
      <c r="D11" s="158"/>
      <c r="E11" s="99"/>
      <c r="F11" s="270"/>
      <c r="G11" s="291"/>
      <c r="H11" s="291"/>
      <c r="I11" s="291"/>
    </row>
    <row r="12" spans="1:9" x14ac:dyDescent="0.25">
      <c r="A12" s="168" t="s">
        <v>98</v>
      </c>
      <c r="B12" s="97"/>
      <c r="C12" s="156" t="str">
        <f>main!C12</f>
        <v>UD-1</v>
      </c>
      <c r="D12" s="158"/>
      <c r="E12" s="99"/>
      <c r="F12" s="99" t="s">
        <v>101</v>
      </c>
      <c r="G12" s="97" t="str">
        <f>main!G12</f>
        <v>04/02/2020 to 08/02/2020</v>
      </c>
      <c r="H12" s="159"/>
      <c r="I12" s="53"/>
    </row>
    <row r="13" spans="1:9" x14ac:dyDescent="0.25">
      <c r="A13" s="98" t="s">
        <v>99</v>
      </c>
      <c r="B13" s="89"/>
      <c r="C13" s="106" t="str">
        <f>main!C13</f>
        <v>2.0m - 2.5m</v>
      </c>
      <c r="D13" s="53"/>
      <c r="E13" s="99"/>
      <c r="F13" s="292" t="s">
        <v>100</v>
      </c>
      <c r="G13" s="291" t="str">
        <f>main!G13</f>
        <v>ASTM D422, D854, D1140, D6913, D7928</v>
      </c>
      <c r="H13" s="291"/>
      <c r="I13" s="291"/>
    </row>
    <row r="14" spans="1:9" x14ac:dyDescent="0.25">
      <c r="A14" s="98" t="s">
        <v>102</v>
      </c>
      <c r="B14" s="89"/>
      <c r="C14" s="106"/>
      <c r="D14" s="293" t="str">
        <f>main!D14</f>
        <v>Red Silty Clay</v>
      </c>
      <c r="E14" s="293"/>
      <c r="F14" s="292"/>
      <c r="G14" s="291"/>
      <c r="H14" s="291"/>
      <c r="I14" s="291"/>
    </row>
    <row r="15" spans="1:9" ht="15.5" x14ac:dyDescent="0.35">
      <c r="B15" s="81"/>
      <c r="C15" s="23"/>
      <c r="D15" s="293"/>
      <c r="E15" s="293"/>
      <c r="G15" s="1"/>
    </row>
    <row r="16" spans="1:9" ht="17.25" customHeight="1" x14ac:dyDescent="0.25">
      <c r="A16" s="290" t="s">
        <v>95</v>
      </c>
      <c r="B16" s="290"/>
      <c r="C16" s="290"/>
      <c r="D16" s="290"/>
      <c r="E16" s="290"/>
      <c r="F16" s="290"/>
      <c r="G16" s="290"/>
      <c r="H16" s="290"/>
      <c r="I16" s="290"/>
    </row>
    <row r="17" spans="1:9" ht="10" customHeight="1" x14ac:dyDescent="0.25">
      <c r="C17" s="1"/>
      <c r="D17" s="8"/>
      <c r="E17" s="1"/>
      <c r="F17" s="1"/>
      <c r="G17" s="1"/>
    </row>
    <row r="18" spans="1:9" ht="10" customHeight="1" x14ac:dyDescent="0.25">
      <c r="A18" s="1"/>
      <c r="B18" s="1"/>
      <c r="C18" s="1"/>
      <c r="D18" s="1"/>
      <c r="E18" s="1"/>
      <c r="F18" s="1"/>
      <c r="G18" s="1"/>
      <c r="H18" s="1"/>
      <c r="I18" s="1"/>
    </row>
    <row r="19" spans="1:9" ht="10" customHeight="1" x14ac:dyDescent="0.25">
      <c r="A19" s="1"/>
      <c r="B19" s="1"/>
      <c r="C19" s="1"/>
      <c r="D19" s="1"/>
      <c r="E19" s="1"/>
      <c r="F19" s="1"/>
      <c r="G19" s="1"/>
      <c r="H19" s="1"/>
      <c r="I19" s="1"/>
    </row>
    <row r="20" spans="1:9" ht="10" customHeight="1" x14ac:dyDescent="0.25">
      <c r="A20" s="1"/>
      <c r="B20" s="1"/>
      <c r="C20" s="1"/>
      <c r="D20" s="1"/>
      <c r="E20" s="1"/>
      <c r="F20" s="1"/>
      <c r="G20" s="1"/>
      <c r="H20" s="1"/>
      <c r="I20" s="1"/>
    </row>
    <row r="21" spans="1:9" ht="10" customHeight="1" x14ac:dyDescent="0.25">
      <c r="A21" s="1"/>
      <c r="B21" s="1"/>
      <c r="C21" s="1"/>
      <c r="D21" s="1"/>
      <c r="E21" s="1"/>
      <c r="F21" s="1"/>
      <c r="G21" s="1"/>
      <c r="H21" s="1"/>
      <c r="I21" s="1"/>
    </row>
    <row r="22" spans="1:9" ht="10" customHeight="1" x14ac:dyDescent="0.25">
      <c r="A22" s="1"/>
      <c r="B22" s="1"/>
      <c r="C22" s="1"/>
      <c r="D22" s="1"/>
      <c r="E22" s="1"/>
      <c r="F22" s="1"/>
      <c r="G22" s="1"/>
      <c r="H22" s="1"/>
      <c r="I22" s="1"/>
    </row>
    <row r="23" spans="1:9" ht="10" customHeight="1" x14ac:dyDescent="0.25">
      <c r="A23" s="1"/>
      <c r="B23" s="1"/>
      <c r="C23" s="1"/>
      <c r="D23" s="1"/>
      <c r="E23" s="1"/>
      <c r="F23" s="1"/>
      <c r="G23" s="1"/>
      <c r="H23" s="1"/>
      <c r="I23" s="1"/>
    </row>
    <row r="24" spans="1:9" ht="12.75" customHeight="1" x14ac:dyDescent="0.25"/>
    <row r="25" spans="1:9" ht="16.5" customHeight="1" x14ac:dyDescent="0.25"/>
    <row r="26" spans="1:9" ht="18" customHeight="1" x14ac:dyDescent="0.25"/>
    <row r="27" spans="1:9" ht="21" customHeight="1" x14ac:dyDescent="0.25">
      <c r="B27" s="1"/>
      <c r="C27" s="1"/>
      <c r="D27" s="1"/>
      <c r="E27" s="1"/>
      <c r="F27" s="1"/>
      <c r="G27" s="1"/>
    </row>
    <row r="28" spans="1:9" ht="20.149999999999999" customHeight="1" x14ac:dyDescent="0.25"/>
    <row r="29" spans="1:9" ht="20.149999999999999" customHeight="1" x14ac:dyDescent="0.25"/>
    <row r="30" spans="1:9" ht="20.149999999999999" customHeight="1" x14ac:dyDescent="0.25"/>
    <row r="31" spans="1:9" ht="20.149999999999999" customHeight="1" x14ac:dyDescent="0.25"/>
    <row r="32" spans="1:9" ht="20.149999999999999" customHeight="1" x14ac:dyDescent="0.25"/>
    <row r="33" spans="1:10" ht="20.149999999999999" customHeight="1" x14ac:dyDescent="0.25">
      <c r="J33" s="22"/>
    </row>
    <row r="34" spans="1:10" ht="20.149999999999999" customHeight="1" x14ac:dyDescent="0.25"/>
    <row r="35" spans="1:10" ht="20.149999999999999" customHeight="1" x14ac:dyDescent="0.25"/>
    <row r="36" spans="1:10" ht="20.149999999999999" customHeight="1" x14ac:dyDescent="0.25"/>
    <row r="37" spans="1:10" ht="20.149999999999999" customHeight="1" x14ac:dyDescent="0.25">
      <c r="A37" s="143" t="s">
        <v>106</v>
      </c>
      <c r="B37" s="143"/>
      <c r="C37" s="171">
        <f>'Some Calculations'!J4</f>
        <v>0</v>
      </c>
      <c r="D37" s="143" t="s">
        <v>125</v>
      </c>
      <c r="E37" s="143" t="s">
        <v>135</v>
      </c>
      <c r="F37" s="145" t="str">
        <f>'Some Calculations'!F13</f>
        <v>---</v>
      </c>
      <c r="G37" s="143" t="s">
        <v>8</v>
      </c>
      <c r="H37" s="143"/>
      <c r="I37" s="143"/>
    </row>
    <row r="38" spans="1:10" ht="20.149999999999999" customHeight="1" x14ac:dyDescent="0.25">
      <c r="A38" s="143" t="s">
        <v>107</v>
      </c>
      <c r="B38" s="143"/>
      <c r="C38" s="171">
        <f>'Some Calculations'!J5</f>
        <v>0</v>
      </c>
      <c r="D38" s="143" t="s">
        <v>125</v>
      </c>
      <c r="E38" s="143" t="s">
        <v>136</v>
      </c>
      <c r="F38" s="145">
        <f>'Some Calculations'!F14</f>
        <v>4.0000000000000001E-3</v>
      </c>
      <c r="G38" s="143" t="s">
        <v>8</v>
      </c>
      <c r="H38" s="143"/>
      <c r="I38" s="143"/>
    </row>
    <row r="39" spans="1:10" ht="20.149999999999999" customHeight="1" x14ac:dyDescent="0.25">
      <c r="A39" s="143" t="s">
        <v>109</v>
      </c>
      <c r="B39" s="143"/>
      <c r="C39" s="171">
        <f>'Some Calculations'!J6</f>
        <v>1.4</v>
      </c>
      <c r="D39" s="143" t="s">
        <v>125</v>
      </c>
      <c r="E39" s="143" t="s">
        <v>137</v>
      </c>
      <c r="F39" s="145">
        <f>'Some Calculations'!F15</f>
        <v>1.2999999999999999E-2</v>
      </c>
      <c r="G39" s="143" t="s">
        <v>8</v>
      </c>
      <c r="H39" s="143"/>
      <c r="I39" s="143"/>
    </row>
    <row r="40" spans="1:10" ht="20.149999999999999" customHeight="1" x14ac:dyDescent="0.25">
      <c r="A40" s="143" t="s">
        <v>110</v>
      </c>
      <c r="B40" s="143"/>
      <c r="C40" s="171">
        <f>'Some Calculations'!J7</f>
        <v>64.52</v>
      </c>
      <c r="D40" s="143" t="s">
        <v>125</v>
      </c>
      <c r="E40" s="143" t="s">
        <v>134</v>
      </c>
      <c r="F40" s="143"/>
      <c r="G40" s="143"/>
      <c r="H40" s="172" t="str">
        <f>'Some Calculations'!G14</f>
        <v>---</v>
      </c>
      <c r="I40" s="143"/>
    </row>
    <row r="41" spans="1:10" ht="20.149999999999999" customHeight="1" x14ac:dyDescent="0.25">
      <c r="A41" s="143" t="s">
        <v>111</v>
      </c>
      <c r="B41" s="143"/>
      <c r="C41" s="171">
        <f>'Some Calculations'!L8</f>
        <v>34.08</v>
      </c>
      <c r="D41" s="143" t="s">
        <v>125</v>
      </c>
      <c r="E41" s="143" t="s">
        <v>133</v>
      </c>
      <c r="F41" s="143"/>
      <c r="G41" s="143"/>
      <c r="H41" s="172" t="str">
        <f>'Some Calculations'!H14</f>
        <v>---</v>
      </c>
      <c r="I41" s="143"/>
    </row>
    <row r="42" spans="1:10" ht="20.149999999999999" customHeight="1" x14ac:dyDescent="0.25">
      <c r="A42" s="182" t="s">
        <v>152</v>
      </c>
      <c r="B42" s="144"/>
      <c r="C42" s="183">
        <f>'Some Calculations'!F16</f>
        <v>8.9999999999999993E-3</v>
      </c>
      <c r="D42" s="182" t="s">
        <v>8</v>
      </c>
      <c r="E42" s="143" t="s">
        <v>151</v>
      </c>
      <c r="F42" s="143"/>
      <c r="G42" s="144"/>
      <c r="H42" s="143">
        <f>main!GS</f>
        <v>2.74</v>
      </c>
      <c r="I42" s="143"/>
    </row>
    <row r="43" spans="1:10" ht="20.149999999999999" customHeight="1" x14ac:dyDescent="0.25">
      <c r="A43" s="82"/>
      <c r="B43" s="82"/>
      <c r="C43" s="82"/>
      <c r="D43" s="82"/>
      <c r="E43" s="82"/>
      <c r="F43" s="82"/>
      <c r="G43" s="82"/>
      <c r="H43" s="82"/>
      <c r="I43" s="82"/>
    </row>
    <row r="44" spans="1:10" ht="13" x14ac:dyDescent="0.3">
      <c r="A44" s="9" t="s">
        <v>88</v>
      </c>
      <c r="B44" s="9"/>
      <c r="C44" s="9"/>
      <c r="D44" s="9"/>
      <c r="E44" s="9"/>
      <c r="F44" s="9"/>
      <c r="G44" s="9" t="s">
        <v>89</v>
      </c>
    </row>
    <row r="45" spans="1:10" ht="28.5" customHeight="1" x14ac:dyDescent="0.25"/>
    <row r="46" spans="1:10" ht="15.75" customHeight="1" x14ac:dyDescent="0.25">
      <c r="A46" s="160"/>
      <c r="B46" s="160"/>
      <c r="C46" s="160"/>
      <c r="D46" s="160"/>
      <c r="E46" s="160"/>
      <c r="F46" s="160"/>
      <c r="G46" s="160"/>
      <c r="H46" s="160"/>
      <c r="I46" s="160"/>
      <c r="J46" s="160"/>
    </row>
    <row r="47" spans="1:10" ht="12.75" customHeight="1" x14ac:dyDescent="0.25">
      <c r="A47" s="161" t="str">
        <f>main!A47</f>
        <v>Dr. A. B. M. Badruzzaman</v>
      </c>
      <c r="B47" s="160"/>
      <c r="C47" s="160"/>
      <c r="D47" s="160"/>
      <c r="E47" s="160"/>
      <c r="F47" s="160"/>
      <c r="G47" s="161" t="str">
        <f>main!G47</f>
        <v>Dr. Md. Ferdous Alam</v>
      </c>
      <c r="H47" s="160"/>
      <c r="I47" s="160"/>
      <c r="J47" s="160"/>
    </row>
    <row r="48" spans="1:10" x14ac:dyDescent="0.25">
      <c r="A48" s="162" t="str">
        <f>main!A48</f>
        <v>Professor</v>
      </c>
      <c r="B48" s="160"/>
      <c r="C48" s="160"/>
      <c r="D48" s="160"/>
      <c r="E48" s="160"/>
      <c r="F48" s="160"/>
      <c r="G48" s="162" t="str">
        <f>main!G48</f>
        <v>Assistant Professor</v>
      </c>
      <c r="H48" s="160"/>
      <c r="I48" s="160"/>
      <c r="J48" s="160"/>
    </row>
    <row r="49" spans="1:10" x14ac:dyDescent="0.25">
      <c r="A49" s="162" t="str">
        <f>main!A49</f>
        <v>Department of Civil Engineering</v>
      </c>
      <c r="B49" s="160"/>
      <c r="C49" s="160"/>
      <c r="D49" s="160"/>
      <c r="E49" s="160"/>
      <c r="F49" s="160"/>
      <c r="G49" s="162" t="str">
        <f>main!G49</f>
        <v>Department of Civil Engineering</v>
      </c>
      <c r="H49" s="160"/>
      <c r="I49" s="160"/>
      <c r="J49" s="160"/>
    </row>
    <row r="50" spans="1:10" x14ac:dyDescent="0.25">
      <c r="A50" s="162" t="str">
        <f>main!A50</f>
        <v>BUET, Dhaka - 1000.</v>
      </c>
      <c r="B50" s="53"/>
      <c r="C50" s="53"/>
      <c r="D50" s="53"/>
      <c r="E50" s="53"/>
      <c r="F50" s="53"/>
      <c r="G50" s="162" t="str">
        <f>main!G50</f>
        <v>BUET, Dhaka - 1000.</v>
      </c>
      <c r="H50" s="53"/>
      <c r="I50" s="160"/>
      <c r="J50" s="160"/>
    </row>
  </sheetData>
  <mergeCells count="6">
    <mergeCell ref="A16:I16"/>
    <mergeCell ref="G13:I14"/>
    <mergeCell ref="F8:F11"/>
    <mergeCell ref="G8:I11"/>
    <mergeCell ref="F13:F14"/>
    <mergeCell ref="D14:E15"/>
  </mergeCells>
  <pageMargins left="1.1000000000000001" right="0.75" top="0.5" bottom="0.5" header="0.5" footer="0.5"/>
  <pageSetup paperSize="9" orientation="portrait" blackAndWhite="1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input-output</vt:lpstr>
      <vt:lpstr>output-table</vt:lpstr>
      <vt:lpstr>main</vt:lpstr>
      <vt:lpstr>Some Calculations</vt:lpstr>
      <vt:lpstr>Report</vt:lpstr>
      <vt:lpstr>main!Agrad</vt:lpstr>
      <vt:lpstr>main!GS</vt:lpstr>
      <vt:lpstr>main!Ltwo</vt:lpstr>
      <vt:lpstr>main!Print_Area</vt:lpstr>
      <vt:lpstr>Report!Print_Area</vt:lpstr>
      <vt:lpstr>main!Vb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Consolidation Calculations</dc:title>
  <dc:creator>Dr. Md. Ferdous Alam</dc:creator>
  <cp:lastModifiedBy>Md Nasir Uddin</cp:lastModifiedBy>
  <cp:lastPrinted>2015-10-16T12:06:54Z</cp:lastPrinted>
  <dcterms:created xsi:type="dcterms:W3CDTF">2000-01-03T08:46:43Z</dcterms:created>
  <dcterms:modified xsi:type="dcterms:W3CDTF">2022-02-22T17:37:07Z</dcterms:modified>
</cp:coreProperties>
</file>