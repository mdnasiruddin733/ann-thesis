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753d6b33ebe78a/Desktop/thesis-repo/ann-thesis/"/>
    </mc:Choice>
  </mc:AlternateContent>
  <xr:revisionPtr revIDLastSave="0" documentId="13_ncr:1_{98DBBBC8-0A41-4B29-BBA6-CC744846AA4F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33" l="1"/>
  <c r="G28" i="33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N27" i="33"/>
  <c r="M27" i="33"/>
  <c r="H29" i="33"/>
  <c r="G29" i="33"/>
  <c r="F29" i="33"/>
  <c r="E29" i="33"/>
  <c r="D29" i="33"/>
  <c r="H28" i="33"/>
  <c r="F28" i="33"/>
  <c r="D28" i="33"/>
  <c r="E19" i="33" l="1"/>
  <c r="E18" i="33"/>
  <c r="E17" i="33"/>
  <c r="D30" i="33"/>
  <c r="O29" i="33"/>
  <c r="F30" i="33"/>
  <c r="H30" i="33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<sst xmlns="http://schemas.openxmlformats.org/spreadsheetml/2006/main" count="319" uniqueCount="201">
  <si>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</si>
  <si>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</si>
  <si>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</si>
  <si>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</si>
  <si>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</si>
  <si>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</si>
  <si>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</si>
  <si>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</si>
  <si>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</si>
  <si>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</si>
  <si>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</si>
  <si>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</si>
  <si>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</si>
  <si>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</si>
  <si>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</si>
  <si>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</si>
  <si>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</si>
  <si>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</si>
  <si>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</si>
  <si>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</si>
  <si>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</si>
  <si>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</si>
  <si>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</si>
  <si>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</si>
  <si>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</si>
  <si>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</si>
  <si>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</si>
  <si>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</si>
  <si>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</si>
  <si>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</si>
  <si>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</si>
  <si>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</si>
  <si>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</si>
  <si>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</si>
  <si>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</si>
  <si>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</si>
  <si>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</si>
  <si>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</si>
  <si>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</si>
  <si>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</si>
  <si>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</si>
  <si>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</si>
  <si>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</si>
  <si>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</si>
  <si>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</si>
  <si>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</si>
  <si>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</si>
  <si>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</si>
  <si>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</si>
  <si>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</si>
  <si>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</si>
  <si>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</si>
  <si>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</si>
  <si>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</si>
  <si>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</si>
  <si>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</si>
  <si>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</si>
  <si>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</si>
  <si>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</si>
  <si>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</si>
  <si>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</si>
  <si>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</si>
  <si>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</si>
  <si>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</si>
  <si>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</si>
  <si>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</si>
  <si>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</si>
  <si>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</si>
  <si>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</si>
  <si>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</si>
  <si>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</si>
  <si>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</si>
  <si>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</si>
  <si>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</si>
  <si>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</si>
  <si>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</si>
  <si>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</si>
  <si>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</si>
  <si>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</si>
  <si>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</si>
  <si>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</si>
  <si>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</si>
  <si>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</si>
  <si>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</si>
  <si>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</si>
  <si>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</si>
  <si>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</si>
  <si>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</si>
  <si>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</si>
  <si>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</si>
  <si>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</si>
  <si>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</si>
  <si>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</si>
  <si>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</si>
  <si>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</si>
  <si>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</si>
  <si>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</si>
  <si>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</si>
  <si>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</si>
  <si>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</si>
  <si>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</si>
  <si>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</si>
  <si>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</si>
  <si>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</si>
  <si>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</si>
  <si>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</si>
  <si>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</si>
  <si>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</si>
  <si>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</si>
  <si>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</si>
  <si>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</si>
  <si>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</si>
  <si>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</si>
  <si>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</si>
  <si>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</si>
  <si>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</si>
  <si>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</si>
  <si>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</si>
  <si>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</si>
  <si>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</si>
  <si>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</si>
  <si>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</si>
  <si>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</si>
  <si>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</si>
  <si>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</si>
  <si>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</si>
  <si>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</si>
  <si>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</si>
  <si>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</si>
  <si>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</si>
  <si>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</si>
  <si>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</si>
  <si>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</si>
  <si>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</si>
  <si>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</si>
  <si>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</si>
  <si>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</si>
  <si>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</si>
  <si>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</si>
  <si>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</si>
  <si>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</si>
  <si>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</si>
  <si>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</si>
  <si>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</si>
  <si>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</si>
  <si>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</si>
  <si>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</si>
  <si>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</si>
  <si>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</si>
  <si>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</si>
  <si>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</si>
  <si>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</si>
  <si>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</si>
  <si>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</si>
  <si>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</si>
  <si>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</si>
  <si>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</si>
  <si>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</si>
  <si>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</si>
  <si>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</si>
  <si>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</si>
  <si>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</si>
  <si>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</si>
  <si>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</si>
  <si>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</si>
  <si>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</si>
  <si>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</si>
  <si>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</si>
  <si>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</si>
  <si>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</si>
  <si>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</si>
  <si>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</si>
  <si>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</si>
  <si>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</si>
  <si>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</si>
  <si>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</si>
  <si>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</si>
  <si>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</si>
  <si>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</si>
  <si>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</si>
  <si>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</si>
  <si>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</si>
  <si>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</si>
  <si>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</si>
  <si>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</si>
  <si>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</si>
  <si>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</si>
  <si>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</si>
  <si>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</si>
  <si>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</si>
  <si>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</si>
  <si>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</si>
  <si>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</si>
  <si>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</si>
  <si>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</si>
  <si>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</si>
  <si>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</si>
  <si>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</si>
  <si>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</si>
  <si>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</si>
  <si>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Data 51-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</si>
</sst>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2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5.0680000000000003E-2</c:v>
                </c:pt>
                <c:pt idx="8">
                  <c:v>3.7010000000000001E-2</c:v>
                </c:pt>
                <c:pt idx="9">
                  <c:v>2.724E-2</c:v>
                </c:pt>
                <c:pt idx="10">
                  <c:v>1.9990000000000001E-2</c:v>
                </c:pt>
                <c:pt idx="11">
                  <c:v>1.469E-2</c:v>
                </c:pt>
                <c:pt idx="12">
                  <c:v>1.095E-2</c:v>
                </c:pt>
                <c:pt idx="13">
                  <c:v>7.9799999999999992E-3</c:v>
                </c:pt>
                <c:pt idx="14">
                  <c:v>5.7499999999999999E-3</c:v>
                </c:pt>
                <c:pt idx="15">
                  <c:v>4.1200000000000004E-3</c:v>
                </c:pt>
                <c:pt idx="16">
                  <c:v>2.9499999999999999E-3</c:v>
                </c:pt>
                <c:pt idx="17">
                  <c:v>2.1199999999999999E-3</c:v>
                </c:pt>
                <c:pt idx="18">
                  <c:v>1.2199999999999999E-3</c:v>
                </c:pt>
                <c:pt idx="19">
                  <c:v>8.5999999999999998E-4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99.7</c:v>
                </c:pt>
                <c:pt idx="6" formatCode="0.00">
                  <c:v>97.8</c:v>
                </c:pt>
                <c:pt idx="7" formatCode="0.00">
                  <c:v>86.371669020000013</c:v>
                </c:pt>
                <c:pt idx="8" formatCode="0.00">
                  <c:v>79.727694479999997</c:v>
                </c:pt>
                <c:pt idx="9" formatCode="0.00">
                  <c:v>70.236302280000004</c:v>
                </c:pt>
                <c:pt idx="10" formatCode="0.00">
                  <c:v>61.694049299999996</c:v>
                </c:pt>
                <c:pt idx="11" formatCode="0.00">
                  <c:v>51.25351787999999</c:v>
                </c:pt>
                <c:pt idx="12" formatCode="0.00">
                  <c:v>44.609543339999988</c:v>
                </c:pt>
                <c:pt idx="13" formatCode="0.00">
                  <c:v>36.067290359999994</c:v>
                </c:pt>
                <c:pt idx="14" formatCode="0.00">
                  <c:v>30.372455039999998</c:v>
                </c:pt>
                <c:pt idx="15" formatCode="0.00">
                  <c:v>25.626758939999995</c:v>
                </c:pt>
                <c:pt idx="16" formatCode="0.00">
                  <c:v>21.830202060000001</c:v>
                </c:pt>
                <c:pt idx="17" formatCode="0.00">
                  <c:v>16.135366739999998</c:v>
                </c:pt>
                <c:pt idx="18" formatCode="0.00">
                  <c:v>15.376055363999999</c:v>
                </c:pt>
                <c:pt idx="19" formatCode="0.00">
                  <c:v>14.426916144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8848725" y="1781175"/>
          <a:ext cx="1304925" cy="2800350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37</v>
          </cell>
        </row>
        <row r="45">
          <cell r="I45">
            <v>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25" workbookViewId="0">
      <selection activeCell="I45" sqref="I45"/>
    </sheetView>
  </sheetViews>
  <sheetFormatPr defaultRowHeight="12.75" x14ac:dyDescent="0.2"/>
  <cols>
    <col min="2" max="2" width="11.28515625" customWidth="1"/>
    <col min="3" max="3" width="15.42578125" customWidth="1"/>
    <col min="4" max="4" width="16.5703125" customWidth="1"/>
    <col min="9" max="9" width="18.140625" customWidth="1"/>
    <col min="10" max="11" width="8.7109375" customWidth="1"/>
    <col min="15" max="15" width="9.28515625" customWidth="1"/>
    <col min="16" max="16" width="12.85546875" customWidth="1"/>
  </cols>
  <sheetData>
    <row r="1" spans="1:16" ht="13.5" thickBot="1" x14ac:dyDescent="0.25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.5" thickBot="1" x14ac:dyDescent="0.25">
      <c r="A2" s="117"/>
      <c r="B2" s="217" t="s">
        <v>178</v>
      </c>
      <c r="C2" s="186">
        <v>84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3.25" thickBot="1" x14ac:dyDescent="0.25">
      <c r="A3" s="117"/>
      <c r="B3" s="218" t="s">
        <v>179</v>
      </c>
      <c r="C3" s="248" t="s">
        <v>199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3.5" thickBot="1" x14ac:dyDescent="0.25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6.25" thickBot="1" x14ac:dyDescent="0.25">
      <c r="A5" s="117"/>
      <c r="B5" s="192" t="s">
        <v>156</v>
      </c>
      <c r="C5" s="193" t="s">
        <v>155</v>
      </c>
      <c r="D5" s="34"/>
      <c r="F5" s="26">
        <v>0.25</v>
      </c>
      <c r="G5" s="26">
        <v>48</v>
      </c>
      <c r="H5" s="26">
        <v>28</v>
      </c>
      <c r="I5" s="34"/>
      <c r="J5" s="34"/>
      <c r="K5" s="34"/>
      <c r="L5" s="34"/>
      <c r="M5" s="118"/>
    </row>
    <row r="6" spans="1:16" x14ac:dyDescent="0.2">
      <c r="A6" s="117"/>
      <c r="B6" s="185">
        <v>4</v>
      </c>
      <c r="C6" s="194">
        <v>0</v>
      </c>
      <c r="D6" s="34"/>
      <c r="F6" s="26">
        <v>0.5</v>
      </c>
      <c r="G6" s="26">
        <v>45.5</v>
      </c>
      <c r="H6" s="26">
        <v>28</v>
      </c>
      <c r="I6" s="250" t="s">
        <v>21</v>
      </c>
      <c r="J6" s="251"/>
      <c r="K6" s="251"/>
      <c r="L6" s="252"/>
      <c r="M6" s="118"/>
    </row>
    <row r="7" spans="1:16" x14ac:dyDescent="0.2">
      <c r="A7" s="117"/>
      <c r="B7" s="187">
        <v>8</v>
      </c>
      <c r="C7" s="195">
        <v>0</v>
      </c>
      <c r="D7" s="34"/>
      <c r="F7" s="26">
        <v>1</v>
      </c>
      <c r="G7" s="26">
        <v>42</v>
      </c>
      <c r="H7" s="26">
        <v>28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x14ac:dyDescent="0.2">
      <c r="A8" s="117"/>
      <c r="B8" s="187">
        <v>16</v>
      </c>
      <c r="C8" s="195">
        <v>0</v>
      </c>
      <c r="D8" s="34"/>
      <c r="F8" s="26">
        <v>2</v>
      </c>
      <c r="G8" s="26">
        <v>37</v>
      </c>
      <c r="H8" s="26">
        <v>28</v>
      </c>
      <c r="I8" s="119" t="s">
        <v>22</v>
      </c>
      <c r="J8" s="34"/>
      <c r="K8" s="34"/>
      <c r="L8" s="120">
        <v>372.1</v>
      </c>
      <c r="M8" s="118"/>
      <c r="N8" s="225"/>
      <c r="O8" s="231"/>
      <c r="P8" s="225"/>
    </row>
    <row r="9" spans="1:16" x14ac:dyDescent="0.2">
      <c r="A9" s="117"/>
      <c r="B9" s="187">
        <v>30</v>
      </c>
      <c r="C9" s="195">
        <v>0</v>
      </c>
      <c r="D9" s="34"/>
      <c r="F9" s="26">
        <v>4</v>
      </c>
      <c r="G9" s="26">
        <v>32.5</v>
      </c>
      <c r="H9" s="26">
        <v>28</v>
      </c>
      <c r="I9" s="119" t="s">
        <v>23</v>
      </c>
      <c r="J9" s="34"/>
      <c r="K9" s="34"/>
      <c r="L9" s="120">
        <v>28</v>
      </c>
      <c r="M9" s="118"/>
      <c r="N9" s="225"/>
      <c r="O9" s="223"/>
    </row>
    <row r="10" spans="1:16" x14ac:dyDescent="0.2">
      <c r="A10" s="117"/>
      <c r="B10" s="187">
        <v>50</v>
      </c>
      <c r="C10" s="195">
        <v>0</v>
      </c>
      <c r="D10" s="34"/>
      <c r="F10" s="26">
        <v>8</v>
      </c>
      <c r="G10" s="26">
        <v>27</v>
      </c>
      <c r="H10" s="26">
        <v>28</v>
      </c>
      <c r="I10" s="119" t="s">
        <v>24</v>
      </c>
      <c r="J10" s="34"/>
      <c r="K10" s="34"/>
      <c r="L10" s="120">
        <v>340.5</v>
      </c>
      <c r="M10" s="118"/>
      <c r="N10" s="225"/>
      <c r="O10" s="230"/>
    </row>
    <row r="11" spans="1:16" x14ac:dyDescent="0.2">
      <c r="A11" s="117"/>
      <c r="B11" s="187">
        <v>100</v>
      </c>
      <c r="C11" s="195">
        <v>0.3</v>
      </c>
      <c r="D11" s="34"/>
      <c r="F11" s="26">
        <v>15</v>
      </c>
      <c r="G11" s="26">
        <v>23.5</v>
      </c>
      <c r="H11" s="26">
        <v>28</v>
      </c>
      <c r="I11" s="119" t="s">
        <v>25</v>
      </c>
      <c r="J11" s="34"/>
      <c r="K11" s="34"/>
      <c r="L11" s="120">
        <v>49.2</v>
      </c>
      <c r="M11" s="118"/>
      <c r="N11" s="225"/>
      <c r="O11" s="230"/>
      <c r="P11" s="227"/>
    </row>
    <row r="12" spans="1:16" x14ac:dyDescent="0.2">
      <c r="A12" s="117"/>
      <c r="B12" s="187">
        <v>200</v>
      </c>
      <c r="C12" s="195">
        <v>1.9</v>
      </c>
      <c r="D12" s="34"/>
      <c r="F12" s="26">
        <v>30</v>
      </c>
      <c r="G12" s="26">
        <v>19</v>
      </c>
      <c r="H12" s="26">
        <v>28</v>
      </c>
      <c r="I12" s="121" t="s">
        <v>26</v>
      </c>
      <c r="J12" s="34"/>
      <c r="K12" s="34"/>
      <c r="L12" s="118">
        <f>ROUND(-0.000005006464124*L9^2-0.00000484550743*L9+1.00033065352292,5)</f>
        <v>0.99626999999999999</v>
      </c>
      <c r="M12" s="118"/>
      <c r="N12" s="225"/>
      <c r="P12" s="224"/>
    </row>
    <row r="13" spans="1:16" ht="13.5" thickBot="1" x14ac:dyDescent="0.25">
      <c r="A13" s="117"/>
      <c r="B13" s="188" t="s">
        <v>157</v>
      </c>
      <c r="C13" s="195">
        <v>97.9</v>
      </c>
      <c r="D13" s="34"/>
      <c r="F13" s="26">
        <v>60</v>
      </c>
      <c r="G13" s="26">
        <v>16</v>
      </c>
      <c r="H13" s="26">
        <v>28</v>
      </c>
      <c r="I13" s="122" t="s">
        <v>27</v>
      </c>
      <c r="J13" s="123"/>
      <c r="K13" s="123"/>
      <c r="L13" s="124">
        <f>MROUND((L12*L11)/(L11-L8+L10),0.01)</f>
        <v>2.79</v>
      </c>
      <c r="M13" s="118"/>
      <c r="P13" s="222"/>
    </row>
    <row r="14" spans="1:16" x14ac:dyDescent="0.2">
      <c r="A14" s="117"/>
      <c r="D14" s="34"/>
      <c r="F14" s="26">
        <v>120</v>
      </c>
      <c r="G14" s="26">
        <v>13.5</v>
      </c>
      <c r="H14" s="26">
        <v>28</v>
      </c>
      <c r="I14" s="34"/>
      <c r="J14" s="34"/>
      <c r="K14" s="34"/>
      <c r="L14" s="34"/>
      <c r="M14" s="118"/>
      <c r="P14" s="223"/>
    </row>
    <row r="15" spans="1:16" x14ac:dyDescent="0.2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11.5</v>
      </c>
      <c r="H15" s="26">
        <v>28</v>
      </c>
      <c r="I15" s="34"/>
      <c r="J15" s="34"/>
      <c r="K15" s="34"/>
      <c r="L15" s="34"/>
      <c r="M15" s="118"/>
      <c r="O15" s="232"/>
      <c r="P15" s="229"/>
    </row>
    <row r="16" spans="1:16" x14ac:dyDescent="0.2">
      <c r="A16" s="117"/>
      <c r="B16" s="236">
        <v>36892</v>
      </c>
      <c r="C16" s="237">
        <v>0.20416666666666669</v>
      </c>
      <c r="D16" s="238" t="str">
        <f>CONCATENATE(TEXT(B16,"mm/dd/yy"),TEXT(C16," hh:mm"), " PM")</f>
        <v>01/01/01 04:54 PM</v>
      </c>
      <c r="E16" s="241">
        <f>F16</f>
        <v>480</v>
      </c>
      <c r="F16" s="233">
        <v>480</v>
      </c>
      <c r="G16" s="244">
        <v>10</v>
      </c>
      <c r="H16" s="26">
        <v>28</v>
      </c>
      <c r="I16" s="34"/>
      <c r="J16" s="34"/>
      <c r="K16" s="34"/>
      <c r="L16" s="34"/>
      <c r="M16" s="118"/>
      <c r="P16" s="228"/>
    </row>
    <row r="17" spans="1:16" x14ac:dyDescent="0.2">
      <c r="A17" s="117"/>
      <c r="B17" s="236">
        <v>36893</v>
      </c>
      <c r="C17" s="237">
        <v>0.3666666666666667</v>
      </c>
      <c r="D17" s="238" t="str">
        <f>CONCATENATE(TEXT(B17,"mm/dd/yy"),TEXT(C17," hh:mm"), " AM")</f>
        <v>01/02/01 08:48 AM</v>
      </c>
      <c r="E17" s="239">
        <f>D17-D16</f>
        <v>0.66249999999854481</v>
      </c>
      <c r="F17" s="234">
        <v>1434</v>
      </c>
      <c r="G17" s="26">
        <v>8.5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">
      <c r="A18" s="117"/>
      <c r="B18" s="236">
        <v>36894</v>
      </c>
      <c r="C18" s="237">
        <v>0.37291666666666662</v>
      </c>
      <c r="D18" s="238" t="str">
        <f>CONCATENATE(TEXT(B18,"mm/dd/yy"),TEXT(C18," hh:mm"), " AM")</f>
        <v>01/03/01 08:57 AM</v>
      </c>
      <c r="E18" s="239">
        <f t="shared" ref="E18:E19" si="0">D18-D17</f>
        <v>1.0062499999985448</v>
      </c>
      <c r="F18" s="233">
        <v>2883</v>
      </c>
      <c r="G18" s="26">
        <v>7.5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">
      <c r="A19" s="117"/>
      <c r="B19" s="236">
        <v>36895</v>
      </c>
      <c r="C19" s="237">
        <v>0.375</v>
      </c>
      <c r="D19" s="238" t="str">
        <f>CONCATENATE(TEXT(B19,"mm/dd/yy"),TEXT(C19," hh:mm"), " AM")</f>
        <v>01/04/01 09:00 AM</v>
      </c>
      <c r="E19" s="239">
        <f t="shared" si="0"/>
        <v>1.0020833333328483</v>
      </c>
      <c r="F19" s="233">
        <v>4326</v>
      </c>
      <c r="G19" s="26">
        <v>7</v>
      </c>
      <c r="H19" s="26">
        <v>29</v>
      </c>
      <c r="I19" s="34"/>
      <c r="J19" s="240"/>
      <c r="K19" s="34"/>
      <c r="L19" s="34"/>
      <c r="M19" s="118"/>
      <c r="P19" s="223"/>
    </row>
    <row r="20" spans="1:16" ht="13.5" thickBot="1" x14ac:dyDescent="0.25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5" x14ac:dyDescent="0.25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">
      <c r="B24" s="71" t="s">
        <v>162</v>
      </c>
      <c r="C24" s="37"/>
      <c r="D24" s="199">
        <v>15</v>
      </c>
      <c r="E24" s="200">
        <v>19</v>
      </c>
      <c r="F24" s="200">
        <v>24</v>
      </c>
      <c r="G24" s="200">
        <v>29</v>
      </c>
      <c r="H24" s="200">
        <v>34</v>
      </c>
      <c r="J24" s="201" t="s">
        <v>163</v>
      </c>
      <c r="K24" s="71"/>
      <c r="L24" s="197"/>
      <c r="M24" s="205">
        <v>7.02</v>
      </c>
      <c r="N24" s="205">
        <v>11.18</v>
      </c>
      <c r="O24" s="202">
        <v>9.09</v>
      </c>
    </row>
    <row r="25" spans="1:16" x14ac:dyDescent="0.2">
      <c r="B25" s="201" t="s">
        <v>163</v>
      </c>
      <c r="C25" s="201"/>
      <c r="D25" s="202">
        <v>10.16</v>
      </c>
      <c r="E25" s="202">
        <v>8.9600000000000009</v>
      </c>
      <c r="F25" s="202">
        <v>9.83</v>
      </c>
      <c r="G25" s="202">
        <v>9.6999999999999993</v>
      </c>
      <c r="H25" s="202">
        <v>10.23</v>
      </c>
      <c r="J25" s="201" t="s">
        <v>170</v>
      </c>
      <c r="K25" s="206"/>
      <c r="L25" s="37"/>
      <c r="M25" s="205">
        <v>45.45</v>
      </c>
      <c r="N25" s="205">
        <v>47.74</v>
      </c>
      <c r="O25" s="202">
        <v>44.72</v>
      </c>
    </row>
    <row r="26" spans="1:16" x14ac:dyDescent="0.2">
      <c r="B26" s="201" t="s">
        <v>164</v>
      </c>
      <c r="C26" s="14"/>
      <c r="D26" s="202">
        <v>44.56</v>
      </c>
      <c r="E26" s="202">
        <v>37.31</v>
      </c>
      <c r="F26" s="202">
        <v>44.85</v>
      </c>
      <c r="G26" s="202">
        <v>38.549999999999997</v>
      </c>
      <c r="H26" s="202">
        <v>40.840000000000003</v>
      </c>
      <c r="J26" s="201" t="s">
        <v>171</v>
      </c>
      <c r="K26" s="71"/>
      <c r="L26" s="207"/>
      <c r="M26" s="205">
        <v>38</v>
      </c>
      <c r="N26" s="205">
        <v>40.659999999999997</v>
      </c>
      <c r="O26" s="202">
        <v>37.86</v>
      </c>
    </row>
    <row r="27" spans="1:16" x14ac:dyDescent="0.2">
      <c r="B27" s="201" t="s">
        <v>165</v>
      </c>
      <c r="C27" s="201"/>
      <c r="D27" s="202">
        <v>35.090000000000003</v>
      </c>
      <c r="E27" s="202">
        <v>29.44</v>
      </c>
      <c r="F27" s="202">
        <v>35.479999999999997</v>
      </c>
      <c r="G27" s="202">
        <v>30.44</v>
      </c>
      <c r="H27" s="202">
        <v>32.79</v>
      </c>
      <c r="J27" s="201" t="s">
        <v>172</v>
      </c>
      <c r="K27" s="71"/>
      <c r="L27" s="208"/>
      <c r="M27" s="201">
        <f>M25-M26</f>
        <v>7.4500000000000028</v>
      </c>
      <c r="N27" s="201">
        <f>N25-N26</f>
        <v>7.0800000000000054</v>
      </c>
      <c r="O27" s="201">
        <f>O25-O26</f>
        <v>6.8599999999999994</v>
      </c>
    </row>
    <row r="28" spans="1:16" x14ac:dyDescent="0.2">
      <c r="B28" s="201" t="s">
        <v>166</v>
      </c>
      <c r="C28" s="201"/>
      <c r="D28" s="201">
        <f>D26-D27</f>
        <v>9.4699999999999989</v>
      </c>
      <c r="E28" s="201">
        <f>E26-E27</f>
        <v>7.870000000000001</v>
      </c>
      <c r="F28" s="201">
        <f>F26-F27</f>
        <v>9.3700000000000045</v>
      </c>
      <c r="G28" s="201">
        <f>G26-G27</f>
        <v>8.1099999999999959</v>
      </c>
      <c r="H28" s="201">
        <f>H26-H27</f>
        <v>8.0500000000000043</v>
      </c>
      <c r="J28" s="201" t="s">
        <v>173</v>
      </c>
      <c r="K28" s="71"/>
      <c r="L28" s="37"/>
      <c r="M28" s="201">
        <f>M26-M24</f>
        <v>30.98</v>
      </c>
      <c r="N28" s="201">
        <f>N26-N24</f>
        <v>29.479999999999997</v>
      </c>
      <c r="O28" s="201">
        <f>O26-O24</f>
        <v>28.77</v>
      </c>
    </row>
    <row r="29" spans="1:16" x14ac:dyDescent="0.2">
      <c r="B29" s="201" t="s">
        <v>167</v>
      </c>
      <c r="C29" s="201"/>
      <c r="D29" s="201">
        <f>D27-D25</f>
        <v>24.930000000000003</v>
      </c>
      <c r="E29" s="201">
        <f>E27-E25</f>
        <v>20.48</v>
      </c>
      <c r="F29" s="201">
        <f>F27-F25</f>
        <v>25.65</v>
      </c>
      <c r="G29" s="201">
        <f>G27-G25</f>
        <v>20.740000000000002</v>
      </c>
      <c r="H29" s="201">
        <f>H27-H25</f>
        <v>22.56</v>
      </c>
      <c r="J29" s="201" t="s">
        <v>168</v>
      </c>
      <c r="K29" s="71"/>
      <c r="L29" s="37"/>
      <c r="M29" s="203">
        <f>M27/M28*100</f>
        <v>24.047772756617181</v>
      </c>
      <c r="N29" s="203">
        <f>N27/N28*100</f>
        <v>24.016282225237472</v>
      </c>
      <c r="O29" s="203">
        <f>O27/O28*100</f>
        <v>23.844282238442823</v>
      </c>
    </row>
    <row r="30" spans="1:16" x14ac:dyDescent="0.2">
      <c r="B30" s="201" t="s">
        <v>168</v>
      </c>
      <c r="C30" s="201"/>
      <c r="D30" s="203">
        <f>D28/D29*100</f>
        <v>37.986361813076606</v>
      </c>
      <c r="E30" s="203">
        <f>E28/E29*100</f>
        <v>38.427734375000007</v>
      </c>
      <c r="F30" s="203">
        <f>F28/F29*100</f>
        <v>36.530214424951282</v>
      </c>
      <c r="G30" s="203">
        <f>G28/G29*100</f>
        <v>39.103182256509136</v>
      </c>
      <c r="H30" s="203">
        <f>H28/H29*100</f>
        <v>35.6826241134752</v>
      </c>
    </row>
    <row r="34" spans="9:16" x14ac:dyDescent="0.2">
      <c r="J34" s="253" t="s">
        <v>177</v>
      </c>
      <c r="K34" s="253"/>
      <c r="L34" s="253"/>
      <c r="M34" s="253"/>
      <c r="N34" s="253"/>
      <c r="O34" s="253"/>
      <c r="P34" s="253"/>
    </row>
    <row r="35" spans="9:16" x14ac:dyDescent="0.2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" customHeight="1" x14ac:dyDescent="0.2">
      <c r="I36">
        <f>SUM(J36:L36)</f>
        <v>100.01</v>
      </c>
      <c r="J36" s="214">
        <f>Report!C39+Report!C38+Report!C37</f>
        <v>2.2000000000000002</v>
      </c>
      <c r="K36" s="214">
        <f>Report!C40</f>
        <v>69.42</v>
      </c>
      <c r="L36" s="214">
        <f>Report!C41</f>
        <v>28.39</v>
      </c>
      <c r="M36" s="215">
        <f>[1]Report!$D$36</f>
        <v>37</v>
      </c>
      <c r="N36" s="215">
        <f>[1]Report!$I$45</f>
        <v>24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4" workbookViewId="0">
      <selection activeCell="P19" sqref="P19"/>
    </sheetView>
  </sheetViews>
  <sheetFormatPr defaultRowHeight="12.75" x14ac:dyDescent="0.2"/>
  <cols>
    <col min="1" max="1" width="12.85546875" customWidth="1"/>
    <col min="2" max="2" width="17.7109375" customWidth="1"/>
  </cols>
  <sheetData>
    <row r="1" spans="1:10" x14ac:dyDescent="0.2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">
      <c r="A2" s="246">
        <v>59</v>
      </c>
      <c r="B2" s="246" t="s">
        <v>186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4" t="s">
        <v>200</v>
      </c>
      <c r="N17" s="255"/>
      <c r="O17" s="255"/>
      <c r="P17" s="255"/>
      <c r="Q17" s="256"/>
    </row>
    <row r="18" spans="1:17" x14ac:dyDescent="0.2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">
      <c r="A24" s="216"/>
      <c r="B24" s="216"/>
      <c r="C24" s="216"/>
      <c r="D24" s="216"/>
      <c r="E24" s="216"/>
      <c r="F24" s="216"/>
      <c r="G24" s="216"/>
      <c r="H24" s="216"/>
      <c r="I24" s="216"/>
      <c r="J24">
        <f t="shared" si="0"/>
        <v>73</v>
      </c>
    </row>
    <row r="25" spans="1:17" x14ac:dyDescent="0.2">
      <c r="A25" s="216"/>
      <c r="B25" s="216"/>
      <c r="C25" s="216"/>
      <c r="D25" s="216"/>
      <c r="E25" s="216"/>
      <c r="F25" s="216"/>
      <c r="G25" s="216"/>
      <c r="H25" s="216"/>
      <c r="I25" s="216"/>
      <c r="J25">
        <f t="shared" si="0"/>
        <v>74</v>
      </c>
    </row>
    <row r="26" spans="1:17" x14ac:dyDescent="0.2">
      <c r="A26" s="216"/>
      <c r="B26" s="216"/>
      <c r="C26" s="216"/>
      <c r="D26" s="216"/>
      <c r="E26" s="216"/>
      <c r="F26" s="216"/>
      <c r="G26" s="216"/>
      <c r="H26" s="216"/>
      <c r="I26" s="216"/>
      <c r="J26">
        <f t="shared" si="0"/>
        <v>75</v>
      </c>
    </row>
    <row r="27" spans="1:17" x14ac:dyDescent="0.2">
      <c r="A27" s="216"/>
      <c r="B27" s="216"/>
      <c r="C27" s="216"/>
      <c r="D27" s="216"/>
      <c r="E27" s="216"/>
      <c r="F27" s="216"/>
      <c r="G27" s="216"/>
      <c r="H27" s="216"/>
      <c r="I27" s="216"/>
      <c r="J27">
        <f t="shared" si="0"/>
        <v>76</v>
      </c>
    </row>
    <row r="28" spans="1:17" x14ac:dyDescent="0.2">
      <c r="A28" s="216"/>
      <c r="B28" s="216"/>
      <c r="C28" s="216"/>
      <c r="D28" s="216"/>
      <c r="E28" s="216"/>
      <c r="F28" s="216"/>
      <c r="G28" s="216"/>
      <c r="H28" s="216"/>
      <c r="I28" s="216"/>
      <c r="J28">
        <f t="shared" si="0"/>
        <v>77</v>
      </c>
    </row>
    <row r="29" spans="1:17" x14ac:dyDescent="0.2">
      <c r="A29" s="216"/>
      <c r="B29" s="216"/>
      <c r="C29" s="216"/>
      <c r="D29" s="216"/>
      <c r="E29" s="216"/>
      <c r="F29" s="216"/>
      <c r="G29" s="216"/>
      <c r="H29" s="216"/>
      <c r="I29" s="216"/>
      <c r="J29">
        <f t="shared" si="0"/>
        <v>78</v>
      </c>
    </row>
    <row r="30" spans="1:17" x14ac:dyDescent="0.2">
      <c r="A30" s="216"/>
      <c r="B30" s="216"/>
      <c r="C30" s="216"/>
      <c r="D30" s="216"/>
      <c r="E30" s="216"/>
      <c r="F30" s="216"/>
      <c r="G30" s="216"/>
      <c r="H30" s="216"/>
      <c r="I30" s="216"/>
      <c r="J30">
        <f t="shared" si="0"/>
        <v>79</v>
      </c>
    </row>
    <row r="31" spans="1:17" x14ac:dyDescent="0.2">
      <c r="A31" s="216"/>
      <c r="B31" s="216"/>
      <c r="C31" s="216"/>
      <c r="D31" s="216"/>
      <c r="E31" s="216"/>
      <c r="F31" s="216"/>
      <c r="G31" s="216"/>
      <c r="H31" s="216"/>
      <c r="I31" s="216"/>
      <c r="J31">
        <f t="shared" si="0"/>
        <v>80</v>
      </c>
    </row>
    <row r="32" spans="1:17" x14ac:dyDescent="0.2">
      <c r="A32" s="216"/>
      <c r="B32" s="216"/>
      <c r="C32" s="216"/>
      <c r="D32" s="216"/>
      <c r="E32" s="216"/>
      <c r="F32" s="216"/>
      <c r="G32" s="216"/>
      <c r="H32" s="216"/>
      <c r="I32" s="216"/>
      <c r="J32">
        <f t="shared" si="0"/>
        <v>81</v>
      </c>
    </row>
    <row r="33" spans="1:10" x14ac:dyDescent="0.2">
      <c r="A33" s="216"/>
      <c r="B33" s="216"/>
      <c r="C33" s="216"/>
      <c r="D33" s="216"/>
      <c r="E33" s="216"/>
      <c r="F33" s="216"/>
      <c r="G33" s="216"/>
      <c r="H33" s="216"/>
      <c r="I33" s="216"/>
      <c r="J33">
        <f t="shared" si="0"/>
        <v>82</v>
      </c>
    </row>
    <row r="34" spans="1:10" x14ac:dyDescent="0.2">
      <c r="A34" s="216"/>
      <c r="B34" s="216"/>
      <c r="C34" s="216"/>
      <c r="D34" s="216"/>
      <c r="E34" s="216"/>
      <c r="F34" s="216"/>
      <c r="G34" s="216"/>
      <c r="H34" s="216"/>
      <c r="I34" s="216"/>
      <c r="J34">
        <f t="shared" si="0"/>
        <v>83</v>
      </c>
    </row>
    <row r="35" spans="1:10" x14ac:dyDescent="0.2">
      <c r="A35" s="216"/>
      <c r="B35" s="216"/>
      <c r="C35" s="216"/>
      <c r="D35" s="216"/>
      <c r="E35" s="216"/>
      <c r="F35" s="216"/>
      <c r="G35" s="216"/>
      <c r="H35" s="216"/>
      <c r="I35" s="216"/>
      <c r="J35">
        <f t="shared" si="0"/>
        <v>84</v>
      </c>
    </row>
    <row r="36" spans="1:10" x14ac:dyDescent="0.2">
      <c r="A36" s="216"/>
      <c r="B36" s="216"/>
      <c r="C36" s="216"/>
      <c r="D36" s="216"/>
      <c r="E36" s="216"/>
      <c r="F36" s="216"/>
      <c r="G36" s="216"/>
      <c r="H36" s="216"/>
      <c r="I36" s="216"/>
      <c r="J36">
        <f t="shared" si="0"/>
        <v>85</v>
      </c>
    </row>
    <row r="37" spans="1:10" x14ac:dyDescent="0.2">
      <c r="A37" s="216"/>
      <c r="B37" s="216"/>
      <c r="C37" s="216"/>
      <c r="D37" s="216"/>
      <c r="E37" s="216"/>
      <c r="F37" s="216"/>
      <c r="G37" s="216"/>
      <c r="H37" s="216"/>
      <c r="I37" s="216"/>
      <c r="J37">
        <f t="shared" si="0"/>
        <v>86</v>
      </c>
    </row>
    <row r="38" spans="1:10" x14ac:dyDescent="0.2">
      <c r="A38" s="216"/>
      <c r="B38" s="216"/>
      <c r="C38" s="216"/>
      <c r="D38" s="216"/>
      <c r="E38" s="216"/>
      <c r="F38" s="216"/>
      <c r="G38" s="216"/>
      <c r="H38" s="216"/>
      <c r="I38" s="216"/>
      <c r="J38">
        <f t="shared" si="0"/>
        <v>87</v>
      </c>
    </row>
    <row r="39" spans="1:10" x14ac:dyDescent="0.2">
      <c r="A39" s="216"/>
      <c r="B39" s="216"/>
      <c r="C39" s="216"/>
      <c r="D39" s="216"/>
      <c r="E39" s="216"/>
      <c r="F39" s="216"/>
      <c r="G39" s="216"/>
      <c r="H39" s="216"/>
      <c r="I39" s="216"/>
      <c r="J39">
        <f t="shared" si="0"/>
        <v>88</v>
      </c>
    </row>
    <row r="40" spans="1:10" x14ac:dyDescent="0.2">
      <c r="A40" s="216"/>
      <c r="B40" s="216"/>
      <c r="C40" s="216"/>
      <c r="D40" s="216"/>
      <c r="E40" s="216"/>
      <c r="F40" s="216"/>
      <c r="G40" s="216"/>
      <c r="H40" s="216"/>
      <c r="I40" s="216"/>
      <c r="J40">
        <f t="shared" si="0"/>
        <v>89</v>
      </c>
    </row>
    <row r="41" spans="1:10" x14ac:dyDescent="0.2">
      <c r="A41" s="216"/>
      <c r="B41" s="216"/>
      <c r="C41" s="216"/>
      <c r="D41" s="216"/>
      <c r="E41" s="216"/>
      <c r="F41" s="216"/>
      <c r="G41" s="216"/>
      <c r="H41" s="216"/>
      <c r="I41" s="216"/>
      <c r="J41">
        <f t="shared" si="0"/>
        <v>90</v>
      </c>
    </row>
    <row r="42" spans="1:10" x14ac:dyDescent="0.2">
      <c r="A42" s="216"/>
      <c r="B42" s="216"/>
      <c r="C42" s="216"/>
      <c r="D42" s="216"/>
      <c r="E42" s="216"/>
      <c r="F42" s="216"/>
      <c r="G42" s="216"/>
      <c r="H42" s="216"/>
      <c r="I42" s="216"/>
      <c r="J42">
        <f t="shared" si="0"/>
        <v>91</v>
      </c>
    </row>
    <row r="43" spans="1:10" x14ac:dyDescent="0.2">
      <c r="A43" s="216"/>
      <c r="B43" s="216"/>
      <c r="C43" s="216"/>
      <c r="D43" s="216"/>
      <c r="E43" s="216"/>
      <c r="F43" s="216"/>
      <c r="G43" s="216"/>
      <c r="H43" s="216"/>
      <c r="I43" s="216"/>
      <c r="J43">
        <f t="shared" si="0"/>
        <v>92</v>
      </c>
    </row>
    <row r="44" spans="1:10" x14ac:dyDescent="0.2">
      <c r="A44" s="216"/>
      <c r="B44" s="216"/>
      <c r="C44" s="216"/>
      <c r="D44" s="216"/>
      <c r="E44" s="216"/>
      <c r="F44" s="216"/>
      <c r="G44" s="216"/>
      <c r="H44" s="216"/>
      <c r="I44" s="216"/>
      <c r="J44">
        <f t="shared" si="0"/>
        <v>93</v>
      </c>
    </row>
    <row r="45" spans="1:10" x14ac:dyDescent="0.2">
      <c r="A45" s="216"/>
      <c r="B45" s="216"/>
      <c r="C45" s="216"/>
      <c r="D45" s="216"/>
      <c r="E45" s="216"/>
      <c r="F45" s="216"/>
      <c r="G45" s="216"/>
      <c r="H45" s="216"/>
      <c r="I45" s="216"/>
      <c r="J45">
        <f t="shared" si="0"/>
        <v>94</v>
      </c>
    </row>
    <row r="46" spans="1:10" x14ac:dyDescent="0.2">
      <c r="A46" s="216"/>
      <c r="B46" s="216"/>
      <c r="C46" s="216"/>
      <c r="D46" s="216"/>
      <c r="E46" s="216"/>
      <c r="F46" s="216"/>
      <c r="G46" s="216"/>
      <c r="H46" s="216"/>
      <c r="I46" s="216"/>
      <c r="J46">
        <f t="shared" si="0"/>
        <v>95</v>
      </c>
    </row>
    <row r="47" spans="1:10" x14ac:dyDescent="0.2">
      <c r="A47" s="216"/>
      <c r="B47" s="216"/>
      <c r="C47" s="216"/>
      <c r="D47" s="216"/>
      <c r="E47" s="216"/>
      <c r="F47" s="216"/>
      <c r="G47" s="216"/>
      <c r="H47" s="216"/>
      <c r="I47" s="216"/>
      <c r="J47">
        <f t="shared" si="0"/>
        <v>96</v>
      </c>
    </row>
    <row r="48" spans="1:10" x14ac:dyDescent="0.2">
      <c r="A48" s="216"/>
      <c r="B48" s="216"/>
      <c r="C48" s="216"/>
      <c r="D48" s="216"/>
      <c r="E48" s="216"/>
      <c r="F48" s="216"/>
      <c r="G48" s="216"/>
      <c r="H48" s="216"/>
      <c r="I48" s="216"/>
      <c r="J48">
        <f t="shared" si="0"/>
        <v>97</v>
      </c>
    </row>
    <row r="49" spans="1:10" x14ac:dyDescent="0.2">
      <c r="A49" s="216"/>
      <c r="B49" s="216"/>
      <c r="C49" s="216"/>
      <c r="D49" s="216"/>
      <c r="E49" s="216"/>
      <c r="F49" s="216"/>
      <c r="G49" s="216"/>
      <c r="H49" s="216"/>
      <c r="I49" s="216"/>
      <c r="J49">
        <f t="shared" si="0"/>
        <v>98</v>
      </c>
    </row>
    <row r="50" spans="1:10" x14ac:dyDescent="0.2">
      <c r="A50" s="216"/>
      <c r="B50" s="216"/>
      <c r="C50" s="216"/>
      <c r="D50" s="216"/>
      <c r="E50" s="216"/>
      <c r="F50" s="216"/>
      <c r="G50" s="216"/>
      <c r="H50" s="216"/>
      <c r="I50" s="216"/>
      <c r="J50">
        <f t="shared" si="0"/>
        <v>99</v>
      </c>
    </row>
    <row r="51" spans="1:10" x14ac:dyDescent="0.2">
      <c r="A51" s="216"/>
      <c r="B51" s="216"/>
      <c r="C51" s="216"/>
      <c r="D51" s="216"/>
      <c r="E51" s="216"/>
      <c r="F51" s="216"/>
      <c r="G51" s="216"/>
      <c r="H51" s="216"/>
      <c r="I51" s="216"/>
      <c r="J51">
        <f t="shared" si="0"/>
        <v>100</v>
      </c>
    </row>
    <row r="52" spans="1:10" x14ac:dyDescent="0.2">
      <c r="A52" s="216"/>
      <c r="B52" s="216"/>
      <c r="C52" s="216"/>
      <c r="D52" s="216"/>
      <c r="E52" s="216"/>
      <c r="F52" s="216"/>
      <c r="G52" s="216"/>
      <c r="H52" s="216"/>
      <c r="I52" s="216"/>
      <c r="J52">
        <f t="shared" si="0"/>
        <v>101</v>
      </c>
    </row>
    <row r="53" spans="1:10" x14ac:dyDescent="0.2">
      <c r="A53" s="216"/>
      <c r="B53" s="216"/>
      <c r="C53" s="216"/>
      <c r="D53" s="216"/>
      <c r="E53" s="216"/>
      <c r="F53" s="216"/>
      <c r="G53" s="216"/>
      <c r="H53" s="216"/>
      <c r="I53" s="216"/>
      <c r="J53">
        <f t="shared" si="0"/>
        <v>102</v>
      </c>
    </row>
    <row r="54" spans="1:10" x14ac:dyDescent="0.2">
      <c r="A54" s="216"/>
      <c r="B54" s="216"/>
      <c r="C54" s="216"/>
      <c r="D54" s="216"/>
      <c r="E54" s="216"/>
      <c r="F54" s="216"/>
      <c r="G54" s="216"/>
      <c r="H54" s="216"/>
      <c r="I54" s="216"/>
      <c r="J54">
        <f t="shared" si="0"/>
        <v>103</v>
      </c>
    </row>
    <row r="55" spans="1:10" x14ac:dyDescent="0.2">
      <c r="A55" s="216"/>
      <c r="B55" s="216"/>
      <c r="C55" s="216"/>
      <c r="D55" s="216"/>
      <c r="E55" s="216"/>
      <c r="F55" s="216"/>
      <c r="G55" s="216"/>
      <c r="H55" s="216"/>
      <c r="I55" s="216"/>
      <c r="J55">
        <f t="shared" si="0"/>
        <v>104</v>
      </c>
    </row>
    <row r="56" spans="1:10" x14ac:dyDescent="0.2">
      <c r="A56" s="216"/>
      <c r="B56" s="216"/>
      <c r="C56" s="216"/>
      <c r="D56" s="216"/>
      <c r="E56" s="216"/>
      <c r="F56" s="216"/>
      <c r="G56" s="216"/>
      <c r="H56" s="216"/>
      <c r="I56" s="216"/>
      <c r="J56">
        <f t="shared" si="0"/>
        <v>105</v>
      </c>
    </row>
    <row r="57" spans="1:10" x14ac:dyDescent="0.2">
      <c r="A57" s="216"/>
      <c r="B57" s="216"/>
      <c r="C57" s="216"/>
      <c r="D57" s="216"/>
      <c r="E57" s="216"/>
      <c r="F57" s="216"/>
      <c r="G57" s="216"/>
      <c r="H57" s="216"/>
      <c r="I57" s="216"/>
      <c r="J57">
        <f t="shared" si="0"/>
        <v>106</v>
      </c>
    </row>
    <row r="58" spans="1:10" x14ac:dyDescent="0.2">
      <c r="A58" s="216"/>
      <c r="B58" s="216"/>
      <c r="C58" s="216"/>
      <c r="D58" s="216"/>
      <c r="E58" s="216"/>
      <c r="F58" s="216"/>
      <c r="G58" s="216"/>
      <c r="H58" s="216"/>
      <c r="I58" s="216"/>
      <c r="J58">
        <f t="shared" si="0"/>
        <v>107</v>
      </c>
    </row>
    <row r="59" spans="1:10" x14ac:dyDescent="0.2">
      <c r="A59" s="216"/>
      <c r="B59" s="216"/>
      <c r="C59" s="216"/>
      <c r="D59" s="216"/>
      <c r="E59" s="216"/>
      <c r="F59" s="216"/>
      <c r="G59" s="216"/>
      <c r="H59" s="216"/>
      <c r="I59" s="216"/>
      <c r="J59">
        <f t="shared" si="0"/>
        <v>108</v>
      </c>
    </row>
    <row r="60" spans="1:10" x14ac:dyDescent="0.2">
      <c r="A60" s="216"/>
      <c r="B60" s="216"/>
      <c r="C60" s="216"/>
      <c r="D60" s="216"/>
      <c r="E60" s="216"/>
      <c r="F60" s="216"/>
      <c r="G60" s="216"/>
      <c r="H60" s="216"/>
      <c r="I60" s="216"/>
      <c r="J60">
        <f t="shared" si="0"/>
        <v>109</v>
      </c>
    </row>
    <row r="61" spans="1:10" x14ac:dyDescent="0.2">
      <c r="A61" s="216"/>
      <c r="B61" s="216"/>
      <c r="C61" s="216"/>
      <c r="D61" s="216"/>
      <c r="E61" s="216"/>
      <c r="F61" s="216"/>
      <c r="G61" s="216"/>
      <c r="H61" s="216"/>
      <c r="I61" s="216"/>
      <c r="J61">
        <f t="shared" si="0"/>
        <v>110</v>
      </c>
    </row>
    <row r="62" spans="1:10" x14ac:dyDescent="0.2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111</v>
      </c>
    </row>
    <row r="63" spans="1:10" x14ac:dyDescent="0.2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112</v>
      </c>
    </row>
    <row r="64" spans="1:10" x14ac:dyDescent="0.2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113</v>
      </c>
    </row>
    <row r="65" spans="1:10" x14ac:dyDescent="0.2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114</v>
      </c>
    </row>
    <row r="66" spans="1:10" x14ac:dyDescent="0.2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115</v>
      </c>
    </row>
    <row r="67" spans="1:10" x14ac:dyDescent="0.2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116</v>
      </c>
    </row>
    <row r="68" spans="1:10" x14ac:dyDescent="0.2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117</v>
      </c>
    </row>
    <row r="69" spans="1:10" x14ac:dyDescent="0.2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118</v>
      </c>
    </row>
    <row r="70" spans="1:10" x14ac:dyDescent="0.2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119</v>
      </c>
    </row>
    <row r="71" spans="1:10" x14ac:dyDescent="0.2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120</v>
      </c>
    </row>
    <row r="72" spans="1:10" x14ac:dyDescent="0.2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121</v>
      </c>
    </row>
    <row r="73" spans="1:10" x14ac:dyDescent="0.2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122</v>
      </c>
    </row>
    <row r="74" spans="1:10" x14ac:dyDescent="0.2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123</v>
      </c>
    </row>
    <row r="75" spans="1:10" x14ac:dyDescent="0.2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124</v>
      </c>
    </row>
    <row r="76" spans="1:10" x14ac:dyDescent="0.2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125</v>
      </c>
    </row>
    <row r="77" spans="1:10" x14ac:dyDescent="0.2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126</v>
      </c>
    </row>
    <row r="78" spans="1:10" x14ac:dyDescent="0.2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127</v>
      </c>
    </row>
    <row r="79" spans="1:10" x14ac:dyDescent="0.2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128</v>
      </c>
    </row>
    <row r="80" spans="1:10" x14ac:dyDescent="0.2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129</v>
      </c>
    </row>
    <row r="81" spans="1:10" x14ac:dyDescent="0.2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130</v>
      </c>
    </row>
    <row r="82" spans="1:10" x14ac:dyDescent="0.2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131</v>
      </c>
    </row>
    <row r="83" spans="1:10" x14ac:dyDescent="0.2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132</v>
      </c>
    </row>
    <row r="84" spans="1:10" x14ac:dyDescent="0.2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133</v>
      </c>
    </row>
    <row r="85" spans="1:10" x14ac:dyDescent="0.2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134</v>
      </c>
    </row>
    <row r="86" spans="1:10" x14ac:dyDescent="0.2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135</v>
      </c>
    </row>
    <row r="87" spans="1:10" x14ac:dyDescent="0.2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136</v>
      </c>
    </row>
    <row r="88" spans="1:10" x14ac:dyDescent="0.2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137</v>
      </c>
    </row>
    <row r="89" spans="1:10" x14ac:dyDescent="0.2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138</v>
      </c>
    </row>
    <row r="90" spans="1:10" x14ac:dyDescent="0.2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139</v>
      </c>
    </row>
    <row r="91" spans="1:10" x14ac:dyDescent="0.2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140</v>
      </c>
    </row>
    <row r="92" spans="1:10" x14ac:dyDescent="0.2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141</v>
      </c>
    </row>
    <row r="93" spans="1:10" x14ac:dyDescent="0.2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142</v>
      </c>
    </row>
    <row r="94" spans="1:10" x14ac:dyDescent="0.2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143</v>
      </c>
    </row>
    <row r="95" spans="1:10" x14ac:dyDescent="0.2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144</v>
      </c>
    </row>
    <row r="96" spans="1:10" x14ac:dyDescent="0.2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145</v>
      </c>
    </row>
    <row r="97" spans="1:10" x14ac:dyDescent="0.2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146</v>
      </c>
    </row>
    <row r="98" spans="1:10" x14ac:dyDescent="0.2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147</v>
      </c>
    </row>
    <row r="99" spans="1:10" x14ac:dyDescent="0.2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148</v>
      </c>
    </row>
    <row r="100" spans="1:10" x14ac:dyDescent="0.2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149</v>
      </c>
    </row>
    <row r="101" spans="1:10" x14ac:dyDescent="0.2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150</v>
      </c>
    </row>
    <row r="102" spans="1:10" x14ac:dyDescent="0.2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151</v>
      </c>
    </row>
    <row r="103" spans="1:10" x14ac:dyDescent="0.2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152</v>
      </c>
    </row>
    <row r="104" spans="1:10" x14ac:dyDescent="0.2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153</v>
      </c>
    </row>
    <row r="105" spans="1:10" x14ac:dyDescent="0.2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154</v>
      </c>
    </row>
    <row r="106" spans="1:10" x14ac:dyDescent="0.2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155</v>
      </c>
    </row>
    <row r="107" spans="1:10" x14ac:dyDescent="0.2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156</v>
      </c>
    </row>
    <row r="108" spans="1:10" x14ac:dyDescent="0.2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157</v>
      </c>
    </row>
    <row r="109" spans="1:10" x14ac:dyDescent="0.2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158</v>
      </c>
    </row>
    <row r="110" spans="1:10" x14ac:dyDescent="0.2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159</v>
      </c>
    </row>
    <row r="111" spans="1:10" x14ac:dyDescent="0.2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160</v>
      </c>
    </row>
    <row r="112" spans="1:10" x14ac:dyDescent="0.2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161</v>
      </c>
    </row>
    <row r="113" spans="1:10" x14ac:dyDescent="0.2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162</v>
      </c>
    </row>
    <row r="114" spans="1:10" x14ac:dyDescent="0.2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163</v>
      </c>
    </row>
    <row r="115" spans="1:10" x14ac:dyDescent="0.2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164</v>
      </c>
    </row>
    <row r="116" spans="1:10" x14ac:dyDescent="0.2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165</v>
      </c>
    </row>
    <row r="117" spans="1:10" x14ac:dyDescent="0.2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166</v>
      </c>
    </row>
    <row r="118" spans="1:10" x14ac:dyDescent="0.2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167</v>
      </c>
    </row>
    <row r="119" spans="1:10" x14ac:dyDescent="0.2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168</v>
      </c>
    </row>
    <row r="120" spans="1:10" x14ac:dyDescent="0.2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169</v>
      </c>
    </row>
    <row r="121" spans="1:10" x14ac:dyDescent="0.2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170</v>
      </c>
    </row>
    <row r="122" spans="1:10" x14ac:dyDescent="0.2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171</v>
      </c>
    </row>
    <row r="123" spans="1:10" x14ac:dyDescent="0.2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172</v>
      </c>
    </row>
    <row r="124" spans="1:10" x14ac:dyDescent="0.2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173</v>
      </c>
    </row>
    <row r="125" spans="1:10" x14ac:dyDescent="0.2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174</v>
      </c>
    </row>
    <row r="126" spans="1:10" x14ac:dyDescent="0.2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175</v>
      </c>
    </row>
    <row r="127" spans="1:10" x14ac:dyDescent="0.2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176</v>
      </c>
    </row>
    <row r="128" spans="1:10" x14ac:dyDescent="0.2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177</v>
      </c>
    </row>
    <row r="129" spans="1:10" x14ac:dyDescent="0.2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178</v>
      </c>
    </row>
    <row r="130" spans="1:10" x14ac:dyDescent="0.2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179</v>
      </c>
    </row>
    <row r="131" spans="1:10" x14ac:dyDescent="0.2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180</v>
      </c>
    </row>
    <row r="132" spans="1:10" x14ac:dyDescent="0.2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181</v>
      </c>
    </row>
    <row r="133" spans="1:10" x14ac:dyDescent="0.2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182</v>
      </c>
    </row>
    <row r="134" spans="1:10" x14ac:dyDescent="0.2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183</v>
      </c>
    </row>
    <row r="135" spans="1:10" x14ac:dyDescent="0.2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184</v>
      </c>
    </row>
    <row r="136" spans="1:10" x14ac:dyDescent="0.2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185</v>
      </c>
    </row>
    <row r="137" spans="1:10" x14ac:dyDescent="0.2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186</v>
      </c>
    </row>
    <row r="138" spans="1:10" x14ac:dyDescent="0.2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187</v>
      </c>
    </row>
    <row r="139" spans="1:10" x14ac:dyDescent="0.2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188</v>
      </c>
    </row>
    <row r="140" spans="1:10" x14ac:dyDescent="0.2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189</v>
      </c>
    </row>
    <row r="141" spans="1:10" x14ac:dyDescent="0.2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190</v>
      </c>
    </row>
    <row r="142" spans="1:10" x14ac:dyDescent="0.2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191</v>
      </c>
    </row>
    <row r="143" spans="1:10" x14ac:dyDescent="0.2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192</v>
      </c>
    </row>
    <row r="144" spans="1:10" x14ac:dyDescent="0.2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193</v>
      </c>
    </row>
    <row r="145" spans="1:10" x14ac:dyDescent="0.2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194</v>
      </c>
    </row>
    <row r="146" spans="1:10" x14ac:dyDescent="0.2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195</v>
      </c>
    </row>
    <row r="147" spans="1:10" x14ac:dyDescent="0.2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196</v>
      </c>
    </row>
    <row r="148" spans="1:10" x14ac:dyDescent="0.2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197</v>
      </c>
    </row>
    <row r="149" spans="1:10" x14ac:dyDescent="0.2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198</v>
      </c>
    </row>
    <row r="150" spans="1:10" x14ac:dyDescent="0.2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199</v>
      </c>
    </row>
    <row r="151" spans="1:10" x14ac:dyDescent="0.2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200</v>
      </c>
    </row>
    <row r="152" spans="1:10" x14ac:dyDescent="0.2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201</v>
      </c>
    </row>
    <row r="153" spans="1:10" x14ac:dyDescent="0.2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202</v>
      </c>
    </row>
    <row r="154" spans="1:10" x14ac:dyDescent="0.2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203</v>
      </c>
    </row>
    <row r="155" spans="1:10" x14ac:dyDescent="0.2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204</v>
      </c>
    </row>
    <row r="156" spans="1:10" x14ac:dyDescent="0.2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205</v>
      </c>
    </row>
    <row r="157" spans="1:10" x14ac:dyDescent="0.2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206</v>
      </c>
    </row>
    <row r="158" spans="1:10" x14ac:dyDescent="0.2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207</v>
      </c>
    </row>
    <row r="159" spans="1:10" x14ac:dyDescent="0.2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208</v>
      </c>
    </row>
    <row r="160" spans="1:10" x14ac:dyDescent="0.2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209</v>
      </c>
    </row>
    <row r="161" spans="1:10" x14ac:dyDescent="0.2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210</v>
      </c>
    </row>
    <row r="162" spans="1:10" x14ac:dyDescent="0.2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211</v>
      </c>
    </row>
    <row r="163" spans="1:10" x14ac:dyDescent="0.2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212</v>
      </c>
    </row>
    <row r="164" spans="1:10" x14ac:dyDescent="0.2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213</v>
      </c>
    </row>
    <row r="165" spans="1:10" x14ac:dyDescent="0.2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214</v>
      </c>
    </row>
    <row r="166" spans="1:10" x14ac:dyDescent="0.2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215</v>
      </c>
    </row>
    <row r="167" spans="1:10" x14ac:dyDescent="0.2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216</v>
      </c>
    </row>
    <row r="168" spans="1:10" x14ac:dyDescent="0.2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217</v>
      </c>
    </row>
    <row r="169" spans="1:10" x14ac:dyDescent="0.2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218</v>
      </c>
    </row>
    <row r="170" spans="1:10" x14ac:dyDescent="0.2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219</v>
      </c>
    </row>
    <row r="171" spans="1:10" x14ac:dyDescent="0.2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220</v>
      </c>
    </row>
    <row r="172" spans="1:10" x14ac:dyDescent="0.2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221</v>
      </c>
    </row>
    <row r="173" spans="1:10" x14ac:dyDescent="0.2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222</v>
      </c>
    </row>
    <row r="174" spans="1:10" x14ac:dyDescent="0.2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223</v>
      </c>
    </row>
    <row r="175" spans="1:10" x14ac:dyDescent="0.2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224</v>
      </c>
    </row>
    <row r="176" spans="1:10" x14ac:dyDescent="0.2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225</v>
      </c>
    </row>
    <row r="177" spans="1:10" x14ac:dyDescent="0.2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226</v>
      </c>
    </row>
    <row r="178" spans="1:10" x14ac:dyDescent="0.2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227</v>
      </c>
    </row>
    <row r="179" spans="1:10" x14ac:dyDescent="0.2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228</v>
      </c>
    </row>
    <row r="180" spans="1:10" x14ac:dyDescent="0.2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229</v>
      </c>
    </row>
    <row r="181" spans="1:10" x14ac:dyDescent="0.2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230</v>
      </c>
    </row>
    <row r="182" spans="1:10" x14ac:dyDescent="0.2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231</v>
      </c>
    </row>
    <row r="183" spans="1:10" x14ac:dyDescent="0.2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232</v>
      </c>
    </row>
    <row r="184" spans="1:10" x14ac:dyDescent="0.2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233</v>
      </c>
    </row>
    <row r="185" spans="1:10" x14ac:dyDescent="0.2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234</v>
      </c>
    </row>
    <row r="186" spans="1:10" x14ac:dyDescent="0.2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235</v>
      </c>
    </row>
    <row r="187" spans="1:10" x14ac:dyDescent="0.2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236</v>
      </c>
    </row>
    <row r="188" spans="1:10" x14ac:dyDescent="0.2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237</v>
      </c>
    </row>
    <row r="189" spans="1:10" x14ac:dyDescent="0.2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238</v>
      </c>
    </row>
    <row r="190" spans="1:10" x14ac:dyDescent="0.2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239</v>
      </c>
    </row>
    <row r="191" spans="1:10" x14ac:dyDescent="0.2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240</v>
      </c>
    </row>
    <row r="192" spans="1:10" x14ac:dyDescent="0.2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241</v>
      </c>
    </row>
    <row r="193" spans="1:10" x14ac:dyDescent="0.2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242</v>
      </c>
    </row>
    <row r="194" spans="1:10" x14ac:dyDescent="0.2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243</v>
      </c>
    </row>
    <row r="195" spans="1:10" x14ac:dyDescent="0.2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244</v>
      </c>
    </row>
    <row r="196" spans="1:10" x14ac:dyDescent="0.2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245</v>
      </c>
    </row>
    <row r="197" spans="1:10" x14ac:dyDescent="0.2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246</v>
      </c>
    </row>
    <row r="198" spans="1:10" x14ac:dyDescent="0.2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247</v>
      </c>
    </row>
    <row r="199" spans="1:10" x14ac:dyDescent="0.2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248</v>
      </c>
    </row>
    <row r="200" spans="1:10" x14ac:dyDescent="0.2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249</v>
      </c>
    </row>
    <row r="201" spans="1:10" x14ac:dyDescent="0.2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250</v>
      </c>
    </row>
    <row r="202" spans="1:10" x14ac:dyDescent="0.2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251</v>
      </c>
    </row>
    <row r="203" spans="1:10" x14ac:dyDescent="0.2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252</v>
      </c>
    </row>
    <row r="204" spans="1:10" x14ac:dyDescent="0.2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253</v>
      </c>
    </row>
    <row r="205" spans="1:10" x14ac:dyDescent="0.2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254</v>
      </c>
    </row>
    <row r="206" spans="1:10" x14ac:dyDescent="0.2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255</v>
      </c>
    </row>
    <row r="207" spans="1:10" x14ac:dyDescent="0.2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256</v>
      </c>
    </row>
    <row r="208" spans="1:10" x14ac:dyDescent="0.2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257</v>
      </c>
    </row>
    <row r="209" spans="1:10" x14ac:dyDescent="0.2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258</v>
      </c>
    </row>
    <row r="210" spans="1:10" x14ac:dyDescent="0.2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259</v>
      </c>
    </row>
    <row r="211" spans="1:10" x14ac:dyDescent="0.2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260</v>
      </c>
    </row>
    <row r="212" spans="1:10" x14ac:dyDescent="0.2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261</v>
      </c>
    </row>
    <row r="213" spans="1:10" x14ac:dyDescent="0.2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262</v>
      </c>
    </row>
    <row r="214" spans="1:10" x14ac:dyDescent="0.2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263</v>
      </c>
    </row>
    <row r="215" spans="1:10" x14ac:dyDescent="0.2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264</v>
      </c>
    </row>
    <row r="216" spans="1:10" x14ac:dyDescent="0.2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265</v>
      </c>
    </row>
    <row r="217" spans="1:10" x14ac:dyDescent="0.2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266</v>
      </c>
    </row>
    <row r="218" spans="1:10" x14ac:dyDescent="0.2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267</v>
      </c>
    </row>
    <row r="219" spans="1:10" x14ac:dyDescent="0.2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268</v>
      </c>
    </row>
    <row r="220" spans="1:10" x14ac:dyDescent="0.2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269</v>
      </c>
    </row>
    <row r="221" spans="1:10" x14ac:dyDescent="0.2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270</v>
      </c>
    </row>
    <row r="222" spans="1:10" x14ac:dyDescent="0.2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271</v>
      </c>
    </row>
    <row r="223" spans="1:10" x14ac:dyDescent="0.2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272</v>
      </c>
    </row>
    <row r="224" spans="1:10" x14ac:dyDescent="0.2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273</v>
      </c>
    </row>
    <row r="225" spans="1:10" x14ac:dyDescent="0.2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274</v>
      </c>
    </row>
    <row r="226" spans="1:10" x14ac:dyDescent="0.2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275</v>
      </c>
    </row>
    <row r="227" spans="1:10" x14ac:dyDescent="0.2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276</v>
      </c>
    </row>
    <row r="228" spans="1:10" x14ac:dyDescent="0.2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277</v>
      </c>
    </row>
    <row r="229" spans="1:10" x14ac:dyDescent="0.2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278</v>
      </c>
    </row>
    <row r="230" spans="1:10" x14ac:dyDescent="0.2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279</v>
      </c>
    </row>
    <row r="231" spans="1:10" x14ac:dyDescent="0.2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280</v>
      </c>
    </row>
    <row r="232" spans="1:10" x14ac:dyDescent="0.2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281</v>
      </c>
    </row>
    <row r="233" spans="1:10" x14ac:dyDescent="0.2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282</v>
      </c>
    </row>
    <row r="234" spans="1:10" x14ac:dyDescent="0.2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283</v>
      </c>
    </row>
    <row r="235" spans="1:10" x14ac:dyDescent="0.2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284</v>
      </c>
    </row>
    <row r="236" spans="1:10" x14ac:dyDescent="0.2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285</v>
      </c>
    </row>
    <row r="237" spans="1:10" x14ac:dyDescent="0.2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286</v>
      </c>
    </row>
    <row r="238" spans="1:10" x14ac:dyDescent="0.2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287</v>
      </c>
    </row>
    <row r="239" spans="1:10" x14ac:dyDescent="0.2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288</v>
      </c>
    </row>
    <row r="240" spans="1:10" x14ac:dyDescent="0.2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289</v>
      </c>
    </row>
    <row r="241" spans="1:10" x14ac:dyDescent="0.2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290</v>
      </c>
    </row>
    <row r="242" spans="1:10" x14ac:dyDescent="0.2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291</v>
      </c>
    </row>
    <row r="243" spans="1:10" x14ac:dyDescent="0.2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292</v>
      </c>
    </row>
    <row r="244" spans="1:10" x14ac:dyDescent="0.2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293</v>
      </c>
    </row>
    <row r="245" spans="1:10" x14ac:dyDescent="0.2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294</v>
      </c>
    </row>
    <row r="246" spans="1:10" x14ac:dyDescent="0.2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295</v>
      </c>
    </row>
    <row r="247" spans="1:10" x14ac:dyDescent="0.2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296</v>
      </c>
    </row>
    <row r="248" spans="1:10" x14ac:dyDescent="0.2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297</v>
      </c>
    </row>
    <row r="249" spans="1:10" x14ac:dyDescent="0.2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298</v>
      </c>
    </row>
    <row r="250" spans="1:10" x14ac:dyDescent="0.2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299</v>
      </c>
    </row>
    <row r="251" spans="1:10" x14ac:dyDescent="0.2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300</v>
      </c>
    </row>
    <row r="252" spans="1:10" x14ac:dyDescent="0.2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301</v>
      </c>
    </row>
    <row r="253" spans="1:10" x14ac:dyDescent="0.2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302</v>
      </c>
    </row>
    <row r="254" spans="1:10" x14ac:dyDescent="0.2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303</v>
      </c>
    </row>
    <row r="255" spans="1:10" x14ac:dyDescent="0.2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304</v>
      </c>
    </row>
    <row r="256" spans="1:10" x14ac:dyDescent="0.2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305</v>
      </c>
    </row>
    <row r="257" spans="1:10" x14ac:dyDescent="0.2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306</v>
      </c>
    </row>
    <row r="258" spans="1:10" x14ac:dyDescent="0.2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307</v>
      </c>
    </row>
    <row r="259" spans="1:10" x14ac:dyDescent="0.2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308</v>
      </c>
    </row>
    <row r="260" spans="1:10" x14ac:dyDescent="0.2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309</v>
      </c>
    </row>
    <row r="261" spans="1:10" x14ac:dyDescent="0.2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310</v>
      </c>
    </row>
    <row r="262" spans="1:10" x14ac:dyDescent="0.2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311</v>
      </c>
    </row>
    <row r="263" spans="1:10" x14ac:dyDescent="0.2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312</v>
      </c>
    </row>
    <row r="264" spans="1:10" x14ac:dyDescent="0.2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313</v>
      </c>
    </row>
    <row r="265" spans="1:10" x14ac:dyDescent="0.2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314</v>
      </c>
    </row>
    <row r="266" spans="1:10" x14ac:dyDescent="0.2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315</v>
      </c>
    </row>
    <row r="267" spans="1:10" x14ac:dyDescent="0.2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316</v>
      </c>
    </row>
    <row r="268" spans="1:10" x14ac:dyDescent="0.2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317</v>
      </c>
    </row>
    <row r="269" spans="1:10" x14ac:dyDescent="0.2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318</v>
      </c>
    </row>
    <row r="270" spans="1:10" x14ac:dyDescent="0.2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319</v>
      </c>
    </row>
    <row r="271" spans="1:10" x14ac:dyDescent="0.2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320</v>
      </c>
    </row>
    <row r="272" spans="1:10" x14ac:dyDescent="0.2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321</v>
      </c>
    </row>
    <row r="273" spans="1:10" x14ac:dyDescent="0.2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322</v>
      </c>
    </row>
    <row r="274" spans="1:10" x14ac:dyDescent="0.2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323</v>
      </c>
    </row>
    <row r="275" spans="1:10" x14ac:dyDescent="0.2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324</v>
      </c>
    </row>
    <row r="276" spans="1:10" x14ac:dyDescent="0.2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325</v>
      </c>
    </row>
    <row r="277" spans="1:10" x14ac:dyDescent="0.2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326</v>
      </c>
    </row>
    <row r="278" spans="1:10" x14ac:dyDescent="0.2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327</v>
      </c>
    </row>
    <row r="279" spans="1:10" x14ac:dyDescent="0.2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328</v>
      </c>
    </row>
    <row r="280" spans="1:10" x14ac:dyDescent="0.2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329</v>
      </c>
    </row>
    <row r="281" spans="1:10" x14ac:dyDescent="0.2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330</v>
      </c>
    </row>
    <row r="282" spans="1:10" x14ac:dyDescent="0.2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331</v>
      </c>
    </row>
    <row r="283" spans="1:10" x14ac:dyDescent="0.2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332</v>
      </c>
    </row>
    <row r="284" spans="1:10" x14ac:dyDescent="0.2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333</v>
      </c>
    </row>
    <row r="285" spans="1:10" x14ac:dyDescent="0.2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334</v>
      </c>
    </row>
    <row r="286" spans="1:10" x14ac:dyDescent="0.2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335</v>
      </c>
    </row>
    <row r="287" spans="1:10" x14ac:dyDescent="0.2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336</v>
      </c>
    </row>
    <row r="288" spans="1:10" x14ac:dyDescent="0.2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337</v>
      </c>
    </row>
    <row r="289" spans="1:10" x14ac:dyDescent="0.2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338</v>
      </c>
    </row>
    <row r="290" spans="1:10" x14ac:dyDescent="0.2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339</v>
      </c>
    </row>
    <row r="291" spans="1:10" x14ac:dyDescent="0.2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340</v>
      </c>
    </row>
    <row r="292" spans="1:10" x14ac:dyDescent="0.2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341</v>
      </c>
    </row>
    <row r="293" spans="1:10" x14ac:dyDescent="0.2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342</v>
      </c>
    </row>
    <row r="294" spans="1:10" x14ac:dyDescent="0.2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343</v>
      </c>
    </row>
    <row r="295" spans="1:10" x14ac:dyDescent="0.2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344</v>
      </c>
    </row>
    <row r="296" spans="1:10" x14ac:dyDescent="0.2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345</v>
      </c>
    </row>
    <row r="297" spans="1:10" x14ac:dyDescent="0.2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346</v>
      </c>
    </row>
    <row r="298" spans="1:10" x14ac:dyDescent="0.2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347</v>
      </c>
    </row>
    <row r="299" spans="1:10" x14ac:dyDescent="0.2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348</v>
      </c>
    </row>
    <row r="300" spans="1:10" x14ac:dyDescent="0.2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349</v>
      </c>
    </row>
    <row r="301" spans="1:10" x14ac:dyDescent="0.2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350</v>
      </c>
    </row>
    <row r="302" spans="1:10" x14ac:dyDescent="0.2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351</v>
      </c>
    </row>
    <row r="303" spans="1:10" x14ac:dyDescent="0.2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352</v>
      </c>
    </row>
    <row r="304" spans="1:10" x14ac:dyDescent="0.2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353</v>
      </c>
    </row>
    <row r="305" spans="1:10" x14ac:dyDescent="0.2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354</v>
      </c>
    </row>
    <row r="306" spans="1:10" x14ac:dyDescent="0.2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355</v>
      </c>
    </row>
    <row r="307" spans="1:10" x14ac:dyDescent="0.2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356</v>
      </c>
    </row>
    <row r="308" spans="1:10" x14ac:dyDescent="0.2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357</v>
      </c>
    </row>
    <row r="309" spans="1:10" x14ac:dyDescent="0.2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358</v>
      </c>
    </row>
    <row r="310" spans="1:10" x14ac:dyDescent="0.2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359</v>
      </c>
    </row>
    <row r="311" spans="1:10" x14ac:dyDescent="0.2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360</v>
      </c>
    </row>
    <row r="312" spans="1:10" x14ac:dyDescent="0.2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361</v>
      </c>
    </row>
    <row r="313" spans="1:10" x14ac:dyDescent="0.2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362</v>
      </c>
    </row>
    <row r="314" spans="1:10" x14ac:dyDescent="0.2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363</v>
      </c>
    </row>
    <row r="315" spans="1:10" x14ac:dyDescent="0.2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364</v>
      </c>
    </row>
    <row r="316" spans="1:10" x14ac:dyDescent="0.2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365</v>
      </c>
    </row>
    <row r="317" spans="1:10" x14ac:dyDescent="0.2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366</v>
      </c>
    </row>
    <row r="318" spans="1:10" x14ac:dyDescent="0.2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367</v>
      </c>
    </row>
    <row r="319" spans="1:10" x14ac:dyDescent="0.2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368</v>
      </c>
    </row>
    <row r="320" spans="1:10" x14ac:dyDescent="0.2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369</v>
      </c>
    </row>
    <row r="321" spans="1:10" x14ac:dyDescent="0.2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370</v>
      </c>
    </row>
    <row r="322" spans="1:10" x14ac:dyDescent="0.2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371</v>
      </c>
    </row>
    <row r="323" spans="1:10" x14ac:dyDescent="0.2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372</v>
      </c>
    </row>
    <row r="324" spans="1:10" x14ac:dyDescent="0.2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373</v>
      </c>
    </row>
    <row r="325" spans="1:10" x14ac:dyDescent="0.2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374</v>
      </c>
    </row>
    <row r="326" spans="1:10" x14ac:dyDescent="0.2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375</v>
      </c>
    </row>
    <row r="327" spans="1:10" x14ac:dyDescent="0.2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376</v>
      </c>
    </row>
    <row r="328" spans="1:10" x14ac:dyDescent="0.2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377</v>
      </c>
    </row>
    <row r="329" spans="1:10" x14ac:dyDescent="0.2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378</v>
      </c>
    </row>
    <row r="330" spans="1:10" x14ac:dyDescent="0.2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379</v>
      </c>
    </row>
    <row r="331" spans="1:10" x14ac:dyDescent="0.2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380</v>
      </c>
    </row>
    <row r="332" spans="1:10" x14ac:dyDescent="0.2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381</v>
      </c>
    </row>
    <row r="333" spans="1:10" x14ac:dyDescent="0.2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382</v>
      </c>
    </row>
    <row r="334" spans="1:10" x14ac:dyDescent="0.2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383</v>
      </c>
    </row>
    <row r="335" spans="1:10" x14ac:dyDescent="0.2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384</v>
      </c>
    </row>
    <row r="336" spans="1:10" x14ac:dyDescent="0.2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385</v>
      </c>
    </row>
    <row r="337" spans="1:10" x14ac:dyDescent="0.2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386</v>
      </c>
    </row>
    <row r="338" spans="1:10" x14ac:dyDescent="0.2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387</v>
      </c>
    </row>
    <row r="339" spans="1:10" x14ac:dyDescent="0.2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388</v>
      </c>
    </row>
    <row r="340" spans="1:10" x14ac:dyDescent="0.2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389</v>
      </c>
    </row>
    <row r="341" spans="1:10" x14ac:dyDescent="0.2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390</v>
      </c>
    </row>
    <row r="342" spans="1:10" x14ac:dyDescent="0.2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391</v>
      </c>
    </row>
    <row r="343" spans="1:10" x14ac:dyDescent="0.2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392</v>
      </c>
    </row>
    <row r="344" spans="1:10" x14ac:dyDescent="0.2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393</v>
      </c>
    </row>
    <row r="345" spans="1:10" x14ac:dyDescent="0.2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394</v>
      </c>
    </row>
    <row r="346" spans="1:10" x14ac:dyDescent="0.2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395</v>
      </c>
    </row>
    <row r="347" spans="1:10" x14ac:dyDescent="0.2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396</v>
      </c>
    </row>
    <row r="348" spans="1:10" x14ac:dyDescent="0.2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397</v>
      </c>
    </row>
    <row r="349" spans="1:10" x14ac:dyDescent="0.2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398</v>
      </c>
    </row>
    <row r="350" spans="1:10" x14ac:dyDescent="0.2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399</v>
      </c>
    </row>
    <row r="351" spans="1:10" x14ac:dyDescent="0.2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400</v>
      </c>
    </row>
  </sheetData>
  <mergeCells count="1">
    <mergeCell ref="M17:Q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75" x14ac:dyDescent="0.2"/>
  <cols>
    <col min="4" max="4" width="9.28515625" bestFit="1" customWidth="1"/>
    <col min="6" max="6" width="8.28515625" bestFit="1" customWidth="1"/>
    <col min="7" max="7" width="11.140625" customWidth="1"/>
    <col min="8" max="8" width="4" customWidth="1"/>
    <col min="9" max="9" width="8.140625" hidden="1" customWidth="1"/>
    <col min="10" max="10" width="9.140625" customWidth="1"/>
    <col min="11" max="11" width="7.5703125" customWidth="1"/>
    <col min="12" max="12" width="6.85546875" customWidth="1"/>
    <col min="13" max="13" width="7.28515625" customWidth="1"/>
    <col min="14" max="15" width="8.5703125" customWidth="1"/>
    <col min="17" max="17" width="6.28515625" customWidth="1"/>
    <col min="18" max="18" width="7" customWidth="1"/>
    <col min="19" max="19" width="5.85546875" customWidth="1"/>
    <col min="20" max="20" width="6.7109375" customWidth="1"/>
    <col min="21" max="21" width="7.140625" customWidth="1"/>
    <col min="22" max="22" width="7" customWidth="1"/>
  </cols>
  <sheetData>
    <row r="1" spans="1:37" ht="14.25" x14ac:dyDescent="0.2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.25" x14ac:dyDescent="0.2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x14ac:dyDescent="0.2">
      <c r="D3" s="6"/>
      <c r="AG3" s="34"/>
      <c r="AH3" s="34"/>
      <c r="AI3" s="34"/>
      <c r="AJ3" s="34"/>
      <c r="AK3" s="34"/>
    </row>
    <row r="4" spans="1:37" x14ac:dyDescent="0.2">
      <c r="D4" s="9"/>
      <c r="AG4" s="34"/>
      <c r="AH4" s="34"/>
      <c r="AI4" s="34"/>
      <c r="AJ4" s="34"/>
      <c r="AK4" s="34"/>
    </row>
    <row r="5" spans="1:37" x14ac:dyDescent="0.2">
      <c r="AG5" s="34"/>
      <c r="AH5" s="34"/>
      <c r="AI5" s="34"/>
      <c r="AJ5" s="34"/>
      <c r="AK5" s="34"/>
    </row>
    <row r="6" spans="1:37" x14ac:dyDescent="0.2">
      <c r="AG6" s="34"/>
      <c r="AH6" s="34"/>
      <c r="AI6" s="34"/>
      <c r="AJ6" s="34"/>
      <c r="AK6" s="34"/>
    </row>
    <row r="7" spans="1:37" x14ac:dyDescent="0.2">
      <c r="J7" s="84"/>
      <c r="K7" s="257"/>
      <c r="L7" s="257"/>
      <c r="M7" s="257"/>
      <c r="N7" s="257"/>
      <c r="O7" s="257"/>
      <c r="P7" s="258"/>
      <c r="Q7" s="258"/>
      <c r="R7" s="258"/>
      <c r="S7" s="85"/>
      <c r="T7" s="259"/>
      <c r="U7" s="260"/>
      <c r="V7" s="260"/>
      <c r="AG7" s="34"/>
      <c r="AH7" s="34"/>
      <c r="AI7" s="34"/>
      <c r="AJ7" s="34"/>
      <c r="AK7" s="34"/>
    </row>
    <row r="8" spans="1:37" ht="12.75" customHeight="1" x14ac:dyDescent="0.2">
      <c r="A8" s="84" t="s">
        <v>93</v>
      </c>
      <c r="B8" s="271" t="s">
        <v>142</v>
      </c>
      <c r="C8" s="271"/>
      <c r="D8" s="271"/>
      <c r="E8" s="271"/>
      <c r="F8" s="259" t="s">
        <v>45</v>
      </c>
      <c r="G8" s="283" t="s">
        <v>144</v>
      </c>
      <c r="H8" s="283"/>
      <c r="I8" s="283"/>
      <c r="J8" s="84"/>
      <c r="K8" s="257"/>
      <c r="L8" s="257"/>
      <c r="M8" s="257"/>
      <c r="N8" s="257"/>
      <c r="O8" s="257"/>
      <c r="P8" s="258"/>
      <c r="Q8" s="258"/>
      <c r="R8" s="258"/>
      <c r="S8" s="85"/>
      <c r="T8" s="261"/>
      <c r="U8" s="261"/>
      <c r="V8" s="260"/>
      <c r="AG8" s="34"/>
      <c r="AH8" s="34"/>
      <c r="AI8" s="34"/>
      <c r="AJ8" s="34"/>
      <c r="AK8" s="34"/>
    </row>
    <row r="9" spans="1:37" x14ac:dyDescent="0.2">
      <c r="A9" s="90" t="s">
        <v>96</v>
      </c>
      <c r="B9" s="95" t="s">
        <v>143</v>
      </c>
      <c r="C9" s="95"/>
      <c r="D9" s="95"/>
      <c r="E9" s="95"/>
      <c r="F9" s="259"/>
      <c r="G9" s="283"/>
      <c r="H9" s="283"/>
      <c r="I9" s="283"/>
      <c r="J9" s="84"/>
      <c r="K9" s="257"/>
      <c r="L9" s="257"/>
      <c r="M9" s="257"/>
      <c r="N9" s="257"/>
      <c r="O9" s="257"/>
      <c r="P9" s="257"/>
      <c r="Q9" s="257"/>
      <c r="R9" s="257"/>
      <c r="S9" s="85"/>
      <c r="T9" s="87"/>
      <c r="U9" s="261"/>
      <c r="V9" s="260"/>
      <c r="AG9" s="34"/>
      <c r="AH9" s="34"/>
      <c r="AI9" s="34"/>
      <c r="AJ9" s="34"/>
      <c r="AK9" s="34"/>
    </row>
    <row r="10" spans="1:37" x14ac:dyDescent="0.2">
      <c r="A10" s="84" t="s">
        <v>94</v>
      </c>
      <c r="B10" s="271" t="s">
        <v>145</v>
      </c>
      <c r="C10" s="271"/>
      <c r="D10" s="271"/>
      <c r="E10" s="271"/>
      <c r="F10" s="259"/>
      <c r="G10" s="283"/>
      <c r="H10" s="283"/>
      <c r="I10" s="283"/>
      <c r="J10" s="84"/>
      <c r="K10" s="96"/>
      <c r="L10" s="265"/>
      <c r="M10" s="265"/>
      <c r="N10" s="265"/>
      <c r="O10" s="265"/>
      <c r="P10" s="265"/>
      <c r="Q10" s="265"/>
      <c r="R10" s="265"/>
      <c r="S10" s="265"/>
      <c r="T10" s="266"/>
      <c r="U10" s="266"/>
      <c r="V10" s="266"/>
      <c r="AG10" s="34"/>
      <c r="AH10" s="34"/>
      <c r="AI10" s="34"/>
      <c r="AJ10" s="34"/>
      <c r="AK10" s="34"/>
    </row>
    <row r="11" spans="1:37" x14ac:dyDescent="0.2">
      <c r="A11" s="85" t="s">
        <v>97</v>
      </c>
      <c r="B11" s="87"/>
      <c r="C11" s="166">
        <v>2</v>
      </c>
      <c r="D11" s="91"/>
      <c r="E11" s="92"/>
      <c r="F11" s="259"/>
      <c r="G11" s="283"/>
      <c r="H11" s="283"/>
      <c r="I11" s="283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x14ac:dyDescent="0.2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82" t="s">
        <v>154</v>
      </c>
      <c r="H13" s="282"/>
      <c r="I13" s="282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">
      <c r="A14" s="85" t="s">
        <v>102</v>
      </c>
      <c r="B14" s="89"/>
      <c r="C14" s="106"/>
      <c r="D14" s="105" t="s">
        <v>148</v>
      </c>
      <c r="E14" s="93"/>
      <c r="F14" s="104"/>
      <c r="G14" s="282"/>
      <c r="H14" s="282"/>
      <c r="I14" s="282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75" x14ac:dyDescent="0.2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75" x14ac:dyDescent="0.2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0.3</v>
      </c>
      <c r="M20" s="54">
        <f t="shared" si="1"/>
        <v>0.3</v>
      </c>
      <c r="N20" s="54">
        <f>SUM(M15:M20)</f>
        <v>0.3</v>
      </c>
      <c r="O20" s="54">
        <f t="shared" si="0"/>
        <v>99.7</v>
      </c>
      <c r="AG20" s="34"/>
      <c r="AH20" s="34"/>
      <c r="AI20" s="34"/>
      <c r="AJ20" s="34"/>
      <c r="AK20" s="34"/>
    </row>
    <row r="21" spans="1:38" ht="20.2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1.9</v>
      </c>
      <c r="M21" s="54">
        <f t="shared" si="1"/>
        <v>1.9</v>
      </c>
      <c r="N21" s="54">
        <f>SUM(M15:M21)</f>
        <v>2.1999999999999997</v>
      </c>
      <c r="O21" s="54">
        <f t="shared" si="0"/>
        <v>97.8</v>
      </c>
      <c r="AG21" s="34"/>
      <c r="AH21" s="34"/>
      <c r="AI21" s="34"/>
      <c r="AJ21" s="34"/>
      <c r="AK21" s="34"/>
    </row>
    <row r="22" spans="1:38" ht="22.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'input-output'!C13</f>
        <v>97.9</v>
      </c>
      <c r="M22" s="54">
        <f t="shared" si="1"/>
        <v>97.9</v>
      </c>
      <c r="N22" s="112" t="str">
        <f>IF(SUM(M15:M22)=100,100,"Adjust wt.")</f>
        <v>Adjust wt.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2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7" t="s">
        <v>51</v>
      </c>
      <c r="N27" s="268"/>
      <c r="O27" s="29" t="s">
        <v>52</v>
      </c>
      <c r="P27" s="31"/>
      <c r="Q27" s="269">
        <v>867452</v>
      </c>
      <c r="R27" s="270"/>
      <c r="S27" s="33" t="s">
        <v>55</v>
      </c>
      <c r="T27" s="32"/>
      <c r="U27" s="32"/>
      <c r="V27" s="66">
        <f>GS</f>
        <v>2.79</v>
      </c>
      <c r="AH27" s="34"/>
      <c r="AI27" s="34"/>
      <c r="AJ27" s="34"/>
      <c r="AK27" s="34"/>
      <c r="AL27" s="34"/>
    </row>
    <row r="28" spans="1:38" x14ac:dyDescent="0.2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x14ac:dyDescent="0.2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">
      <c r="J30" s="29" t="s">
        <v>53</v>
      </c>
      <c r="K30" s="31"/>
      <c r="L30" s="262" t="s">
        <v>86</v>
      </c>
      <c r="M30" s="263"/>
      <c r="N30" s="263"/>
      <c r="O30" s="263"/>
      <c r="P30" s="263"/>
      <c r="Q30" s="263"/>
      <c r="R30" s="264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6.25" x14ac:dyDescent="0.2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x14ac:dyDescent="0.2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">
      <c r="J35" s="174" t="s">
        <v>150</v>
      </c>
      <c r="K35" s="272" t="s">
        <v>103</v>
      </c>
      <c r="L35" s="26">
        <f>'input-output'!F5</f>
        <v>0.25</v>
      </c>
      <c r="M35" s="26">
        <f>'input-output'!G5</f>
        <v>48</v>
      </c>
      <c r="N35" s="26">
        <f>'input-output'!H5</f>
        <v>28</v>
      </c>
      <c r="O35" s="11">
        <f t="shared" ref="O35:O49" si="2">M35-$L$31+$V$31+ROUND(0.0001220529*N35^4-0.0097599296*N35^3+0.2949228983*N35^2-3.7542171086*N35+15.6302691117,1)</f>
        <v>48</v>
      </c>
      <c r="P35" s="27">
        <f t="shared" ref="P35:P49" si="3">O35/$U$29*$P$52*100</f>
        <v>93.167039999999986</v>
      </c>
      <c r="Q35" s="27">
        <f t="shared" ref="Q35:Q49" si="4">P35*$O$21/100</f>
        <v>91.117365119999974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0.99626999999999999</v>
      </c>
      <c r="U35" s="11">
        <f t="shared" ref="U35:U49" si="8">ROUND(0.000000000347305*N35^4-0.00000010799529*N35^3+0.000010444897593*N35^2-0.00054383241282*N35+0.017557582729184,5)</f>
        <v>8.3599999999999994E-3</v>
      </c>
      <c r="V35" s="12">
        <f t="shared" ref="V35:V49" si="9">ROUND( (30*U35/980/(GS-T35)*S35/L35)^0.5,5)</f>
        <v>7.0059999999999997E-2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">
      <c r="J36" s="26"/>
      <c r="K36" s="273"/>
      <c r="L36" s="26">
        <f>'input-output'!F6</f>
        <v>0.5</v>
      </c>
      <c r="M36" s="26">
        <f>'input-output'!G6</f>
        <v>45.5</v>
      </c>
      <c r="N36" s="26">
        <f>'input-output'!H6</f>
        <v>28</v>
      </c>
      <c r="O36" s="11">
        <f t="shared" si="2"/>
        <v>45.5</v>
      </c>
      <c r="P36" s="27">
        <f t="shared" si="3"/>
        <v>88.31459000000001</v>
      </c>
      <c r="Q36" s="27">
        <f t="shared" si="4"/>
        <v>86.371669020000013</v>
      </c>
      <c r="R36" s="11">
        <f t="shared" si="5"/>
        <v>46</v>
      </c>
      <c r="S36" s="11">
        <f t="shared" si="6"/>
        <v>9</v>
      </c>
      <c r="T36" s="11">
        <f t="shared" si="7"/>
        <v>0.99626999999999999</v>
      </c>
      <c r="U36" s="11">
        <f t="shared" si="8"/>
        <v>8.3599999999999994E-3</v>
      </c>
      <c r="V36" s="12">
        <f t="shared" si="9"/>
        <v>5.0680000000000003E-2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">
      <c r="J37" s="26"/>
      <c r="K37" s="273"/>
      <c r="L37" s="26">
        <f>'input-output'!F7</f>
        <v>1</v>
      </c>
      <c r="M37" s="26">
        <f>'input-output'!G7</f>
        <v>42</v>
      </c>
      <c r="N37" s="26">
        <f>'input-output'!H7</f>
        <v>28</v>
      </c>
      <c r="O37" s="11">
        <f t="shared" si="2"/>
        <v>42</v>
      </c>
      <c r="P37" s="27">
        <f t="shared" si="3"/>
        <v>81.521159999999995</v>
      </c>
      <c r="Q37" s="27">
        <f t="shared" si="4"/>
        <v>79.727694479999997</v>
      </c>
      <c r="R37" s="11">
        <f t="shared" si="5"/>
        <v>42.5</v>
      </c>
      <c r="S37" s="11">
        <f t="shared" si="6"/>
        <v>9.6</v>
      </c>
      <c r="T37" s="11">
        <f t="shared" si="7"/>
        <v>0.99626999999999999</v>
      </c>
      <c r="U37" s="11">
        <f t="shared" si="8"/>
        <v>8.3599999999999994E-3</v>
      </c>
      <c r="V37" s="12">
        <f t="shared" si="9"/>
        <v>3.7010000000000001E-2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">
      <c r="J38" s="26"/>
      <c r="K38" s="273"/>
      <c r="L38" s="26">
        <f>'input-output'!F8</f>
        <v>2</v>
      </c>
      <c r="M38" s="26">
        <f>'input-output'!G8</f>
        <v>37</v>
      </c>
      <c r="N38" s="26">
        <f>'input-output'!H8</f>
        <v>28</v>
      </c>
      <c r="O38" s="11">
        <f t="shared" si="2"/>
        <v>37</v>
      </c>
      <c r="P38" s="27">
        <f t="shared" si="3"/>
        <v>71.81626</v>
      </c>
      <c r="Q38" s="27">
        <f t="shared" si="4"/>
        <v>70.236302280000004</v>
      </c>
      <c r="R38" s="11">
        <f t="shared" si="5"/>
        <v>37.5</v>
      </c>
      <c r="S38" s="11">
        <f t="shared" si="6"/>
        <v>10.4</v>
      </c>
      <c r="T38" s="11">
        <f t="shared" si="7"/>
        <v>0.99626999999999999</v>
      </c>
      <c r="U38" s="11">
        <f t="shared" si="8"/>
        <v>8.3599999999999994E-3</v>
      </c>
      <c r="V38" s="12">
        <f t="shared" si="9"/>
        <v>2.724E-2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">
      <c r="J39" s="26"/>
      <c r="K39" s="273"/>
      <c r="L39" s="26">
        <f>'input-output'!F9</f>
        <v>4</v>
      </c>
      <c r="M39" s="26">
        <f>'input-output'!G9</f>
        <v>32.5</v>
      </c>
      <c r="N39" s="26">
        <f>'input-output'!H9</f>
        <v>28</v>
      </c>
      <c r="O39" s="11">
        <f t="shared" si="2"/>
        <v>32.5</v>
      </c>
      <c r="P39" s="27">
        <f t="shared" si="3"/>
        <v>63.081849999999996</v>
      </c>
      <c r="Q39" s="27">
        <f t="shared" si="4"/>
        <v>61.694049299999996</v>
      </c>
      <c r="R39" s="11">
        <f t="shared" si="5"/>
        <v>33</v>
      </c>
      <c r="S39" s="11">
        <f t="shared" si="6"/>
        <v>11.2</v>
      </c>
      <c r="T39" s="11">
        <f t="shared" si="7"/>
        <v>0.99626999999999999</v>
      </c>
      <c r="U39" s="11">
        <f t="shared" si="8"/>
        <v>8.3599999999999994E-3</v>
      </c>
      <c r="V39" s="12">
        <f t="shared" si="9"/>
        <v>1.9990000000000001E-2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">
      <c r="A40" s="82"/>
      <c r="J40" s="26"/>
      <c r="K40" s="273"/>
      <c r="L40" s="26">
        <f>'input-output'!F10</f>
        <v>8</v>
      </c>
      <c r="M40" s="26">
        <f>'input-output'!G10</f>
        <v>27</v>
      </c>
      <c r="N40" s="26">
        <f>'input-output'!H10</f>
        <v>28</v>
      </c>
      <c r="O40" s="11">
        <f t="shared" si="2"/>
        <v>27</v>
      </c>
      <c r="P40" s="27">
        <f t="shared" si="3"/>
        <v>52.406459999999996</v>
      </c>
      <c r="Q40" s="27">
        <f t="shared" si="4"/>
        <v>51.25351787999999</v>
      </c>
      <c r="R40" s="11">
        <f t="shared" si="5"/>
        <v>27.5</v>
      </c>
      <c r="S40" s="11">
        <f t="shared" si="6"/>
        <v>12.1</v>
      </c>
      <c r="T40" s="11">
        <f t="shared" si="7"/>
        <v>0.99626999999999999</v>
      </c>
      <c r="U40" s="11">
        <f t="shared" si="8"/>
        <v>8.3599999999999994E-3</v>
      </c>
      <c r="V40" s="12">
        <f t="shared" si="9"/>
        <v>1.469E-2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">
      <c r="A41" s="82"/>
      <c r="J41" s="26"/>
      <c r="K41" s="273"/>
      <c r="L41" s="26">
        <f>'input-output'!F11</f>
        <v>15</v>
      </c>
      <c r="M41" s="26">
        <f>'input-output'!G11</f>
        <v>23.5</v>
      </c>
      <c r="N41" s="26">
        <f>'input-output'!H11</f>
        <v>28</v>
      </c>
      <c r="O41" s="11">
        <f t="shared" si="2"/>
        <v>23.5</v>
      </c>
      <c r="P41" s="27">
        <f t="shared" si="3"/>
        <v>45.613029999999995</v>
      </c>
      <c r="Q41" s="27">
        <f t="shared" si="4"/>
        <v>44.609543339999988</v>
      </c>
      <c r="R41" s="11">
        <f t="shared" si="5"/>
        <v>24</v>
      </c>
      <c r="S41" s="11">
        <f t="shared" si="6"/>
        <v>12.6</v>
      </c>
      <c r="T41" s="11">
        <f t="shared" si="7"/>
        <v>0.99626999999999999</v>
      </c>
      <c r="U41" s="11">
        <f t="shared" si="8"/>
        <v>8.3599999999999994E-3</v>
      </c>
      <c r="V41" s="12">
        <f t="shared" si="9"/>
        <v>1.095E-2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">
      <c r="B42" s="7"/>
      <c r="G42" s="7"/>
      <c r="J42" s="26"/>
      <c r="K42" s="273"/>
      <c r="L42" s="26">
        <f>'input-output'!F12</f>
        <v>30</v>
      </c>
      <c r="M42" s="26">
        <f>'input-output'!G12</f>
        <v>19</v>
      </c>
      <c r="N42" s="26">
        <f>'input-output'!H12</f>
        <v>28</v>
      </c>
      <c r="O42" s="11">
        <f t="shared" si="2"/>
        <v>19</v>
      </c>
      <c r="P42" s="27">
        <f t="shared" si="3"/>
        <v>36.878619999999998</v>
      </c>
      <c r="Q42" s="27">
        <f t="shared" si="4"/>
        <v>36.067290359999994</v>
      </c>
      <c r="R42" s="11">
        <f t="shared" si="5"/>
        <v>19.5</v>
      </c>
      <c r="S42" s="11">
        <f t="shared" si="6"/>
        <v>13.4</v>
      </c>
      <c r="T42" s="11">
        <f t="shared" si="7"/>
        <v>0.99626999999999999</v>
      </c>
      <c r="U42" s="11">
        <f t="shared" si="8"/>
        <v>8.3599999999999994E-3</v>
      </c>
      <c r="V42" s="12">
        <f t="shared" si="9"/>
        <v>7.9799999999999992E-3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">
      <c r="J43" s="26"/>
      <c r="K43" s="273"/>
      <c r="L43" s="26">
        <f>'input-output'!F13</f>
        <v>60</v>
      </c>
      <c r="M43" s="26">
        <f>'input-output'!G13</f>
        <v>16</v>
      </c>
      <c r="N43" s="26">
        <f>'input-output'!H13</f>
        <v>28</v>
      </c>
      <c r="O43" s="11">
        <f t="shared" si="2"/>
        <v>16</v>
      </c>
      <c r="P43" s="27">
        <f t="shared" si="3"/>
        <v>31.055680000000002</v>
      </c>
      <c r="Q43" s="27">
        <f t="shared" si="4"/>
        <v>30.372455039999998</v>
      </c>
      <c r="R43" s="11">
        <f t="shared" si="5"/>
        <v>16.5</v>
      </c>
      <c r="S43" s="11">
        <f t="shared" si="6"/>
        <v>13.9</v>
      </c>
      <c r="T43" s="11">
        <f t="shared" si="7"/>
        <v>0.99626999999999999</v>
      </c>
      <c r="U43" s="11">
        <f t="shared" si="8"/>
        <v>8.3599999999999994E-3</v>
      </c>
      <c r="V43" s="12">
        <f t="shared" si="9"/>
        <v>5.7499999999999999E-3</v>
      </c>
      <c r="AC43" s="24"/>
      <c r="AD43" s="24"/>
      <c r="AE43" s="51"/>
      <c r="AF43" s="24"/>
      <c r="AG43" s="24"/>
      <c r="AH43" s="24"/>
      <c r="AI43" s="24"/>
      <c r="AJ43" s="22"/>
    </row>
    <row r="44" spans="1:40" x14ac:dyDescent="0.2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3"/>
      <c r="L44" s="26">
        <f>'input-output'!F14</f>
        <v>120</v>
      </c>
      <c r="M44" s="26">
        <f>'input-output'!G14</f>
        <v>13.5</v>
      </c>
      <c r="N44" s="26">
        <f>'input-output'!H14</f>
        <v>28</v>
      </c>
      <c r="O44" s="11">
        <f t="shared" si="2"/>
        <v>13.5</v>
      </c>
      <c r="P44" s="27">
        <f t="shared" si="3"/>
        <v>26.203229999999998</v>
      </c>
      <c r="Q44" s="27">
        <f t="shared" si="4"/>
        <v>25.626758939999995</v>
      </c>
      <c r="R44" s="11">
        <f t="shared" si="5"/>
        <v>14</v>
      </c>
      <c r="S44" s="11">
        <f t="shared" si="6"/>
        <v>14.3</v>
      </c>
      <c r="T44" s="11">
        <f t="shared" si="7"/>
        <v>0.99626999999999999</v>
      </c>
      <c r="U44" s="11">
        <f t="shared" si="8"/>
        <v>8.3599999999999994E-3</v>
      </c>
      <c r="V44" s="12">
        <f t="shared" si="9"/>
        <v>4.1200000000000004E-3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">
      <c r="J45" s="26"/>
      <c r="K45" s="273"/>
      <c r="L45" s="26">
        <f>'input-output'!F15</f>
        <v>240</v>
      </c>
      <c r="M45" s="26">
        <f>'input-output'!G15</f>
        <v>11.5</v>
      </c>
      <c r="N45" s="26">
        <f>'input-output'!H15</f>
        <v>28</v>
      </c>
      <c r="O45" s="11">
        <f t="shared" si="2"/>
        <v>11.5</v>
      </c>
      <c r="P45" s="27">
        <f t="shared" si="3"/>
        <v>22.321270000000002</v>
      </c>
      <c r="Q45" s="27">
        <f t="shared" si="4"/>
        <v>21.830202060000001</v>
      </c>
      <c r="R45" s="11">
        <f t="shared" si="5"/>
        <v>12</v>
      </c>
      <c r="S45" s="11">
        <f t="shared" si="6"/>
        <v>14.6</v>
      </c>
      <c r="T45" s="11">
        <f t="shared" si="7"/>
        <v>0.99626999999999999</v>
      </c>
      <c r="U45" s="11">
        <f t="shared" si="8"/>
        <v>8.3599999999999994E-3</v>
      </c>
      <c r="V45" s="12">
        <f t="shared" si="9"/>
        <v>2.9499999999999999E-3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.5" thickBot="1" x14ac:dyDescent="0.25">
      <c r="J46" s="26"/>
      <c r="K46" s="273"/>
      <c r="L46" s="26">
        <f>'input-output'!F16</f>
        <v>480</v>
      </c>
      <c r="M46" s="26">
        <f>'input-output'!G17</f>
        <v>8.5</v>
      </c>
      <c r="N46" s="26">
        <f>'input-output'!H16</f>
        <v>28</v>
      </c>
      <c r="O46" s="11">
        <f t="shared" si="2"/>
        <v>8.5</v>
      </c>
      <c r="P46" s="27">
        <f t="shared" si="3"/>
        <v>16.498329999999999</v>
      </c>
      <c r="Q46" s="27">
        <f t="shared" si="4"/>
        <v>16.135366739999998</v>
      </c>
      <c r="R46" s="11">
        <f t="shared" si="5"/>
        <v>9</v>
      </c>
      <c r="S46" s="11">
        <f t="shared" si="6"/>
        <v>15.1</v>
      </c>
      <c r="T46" s="11">
        <f t="shared" si="7"/>
        <v>0.99626999999999999</v>
      </c>
      <c r="U46" s="11">
        <f t="shared" si="8"/>
        <v>8.3599999999999994E-3</v>
      </c>
      <c r="V46" s="12">
        <f t="shared" si="9"/>
        <v>2.1199999999999999E-3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3"/>
      <c r="L47" s="26">
        <f>'input-output'!F17</f>
        <v>1434</v>
      </c>
      <c r="M47" s="26">
        <f>'input-output'!G18</f>
        <v>7.5</v>
      </c>
      <c r="N47" s="26">
        <f>'input-output'!H17</f>
        <v>29</v>
      </c>
      <c r="O47" s="11">
        <f t="shared" si="2"/>
        <v>8.1</v>
      </c>
      <c r="P47" s="27">
        <f t="shared" si="3"/>
        <v>15.721938</v>
      </c>
      <c r="Q47" s="27">
        <f t="shared" si="4"/>
        <v>15.376055363999999</v>
      </c>
      <c r="R47" s="11">
        <f t="shared" si="5"/>
        <v>8</v>
      </c>
      <c r="S47" s="11">
        <f t="shared" si="6"/>
        <v>15.3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1.2199999999999999E-3</v>
      </c>
      <c r="W47" s="108">
        <f>24*60</f>
        <v>1440</v>
      </c>
      <c r="X47" s="275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3"/>
      <c r="L48" s="26">
        <f>'input-output'!F18</f>
        <v>2883</v>
      </c>
      <c r="M48" s="26">
        <f>'input-output'!G19</f>
        <v>7</v>
      </c>
      <c r="N48" s="26">
        <f>'input-output'!H18</f>
        <v>29</v>
      </c>
      <c r="O48" s="11">
        <f t="shared" si="2"/>
        <v>7.6</v>
      </c>
      <c r="P48" s="27">
        <f t="shared" si="3"/>
        <v>14.751448</v>
      </c>
      <c r="Q48" s="27">
        <f t="shared" si="4"/>
        <v>14.426916144</v>
      </c>
      <c r="R48" s="11">
        <f t="shared" si="5"/>
        <v>7.5</v>
      </c>
      <c r="S48" s="11">
        <f t="shared" si="6"/>
        <v>15.4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8.5999999999999998E-4</v>
      </c>
      <c r="W48" s="109">
        <v>2880</v>
      </c>
      <c r="X48" s="276"/>
      <c r="AC48" s="24"/>
      <c r="AD48" s="24"/>
      <c r="AE48" s="51"/>
      <c r="AF48" s="24"/>
      <c r="AG48" s="24"/>
      <c r="AH48" s="24"/>
      <c r="AI48" s="24"/>
      <c r="AJ48" s="22"/>
    </row>
    <row r="49" spans="1:39" ht="13.5" thickBot="1" x14ac:dyDescent="0.25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4"/>
      <c r="L49" s="26">
        <f>'input-output'!F19</f>
        <v>4326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77"/>
      <c r="AC49" s="24"/>
      <c r="AD49" s="24"/>
      <c r="AE49" s="51"/>
      <c r="AF49" s="24"/>
      <c r="AG49" s="24"/>
      <c r="AH49" s="24"/>
      <c r="AI49" s="24"/>
      <c r="AJ49" s="22"/>
    </row>
    <row r="50" spans="1:39" x14ac:dyDescent="0.2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x14ac:dyDescent="0.2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x14ac:dyDescent="0.2">
      <c r="B52" s="3"/>
      <c r="J52" s="1" t="s">
        <v>71</v>
      </c>
      <c r="P52" s="72">
        <f>ROUND(V27*1.65/(V27-1)/2.65,5)</f>
        <v>0.97048999999999996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.5" thickBot="1" x14ac:dyDescent="0.25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x14ac:dyDescent="0.2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x14ac:dyDescent="0.2">
      <c r="B65" s="119" t="s">
        <v>22</v>
      </c>
      <c r="C65" s="34"/>
      <c r="D65" s="34"/>
      <c r="E65" s="120">
        <f>'input-output'!L8</f>
        <v>372.1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">
      <c r="B66" s="119" t="s">
        <v>23</v>
      </c>
      <c r="C66" s="34"/>
      <c r="D66" s="34"/>
      <c r="E66" s="120">
        <f>'input-output'!L9</f>
        <v>28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x14ac:dyDescent="0.2">
      <c r="B67" s="119" t="s">
        <v>24</v>
      </c>
      <c r="C67" s="34"/>
      <c r="D67" s="34"/>
      <c r="E67" s="120">
        <f>'input-output'!L10</f>
        <v>340.5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x14ac:dyDescent="0.2">
      <c r="B68" s="119" t="s">
        <v>25</v>
      </c>
      <c r="C68" s="34"/>
      <c r="D68" s="34"/>
      <c r="E68" s="120">
        <f>'input-output'!L11</f>
        <v>49.2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">
      <c r="B69" s="121" t="s">
        <v>26</v>
      </c>
      <c r="C69" s="34"/>
      <c r="D69" s="34"/>
      <c r="E69" s="118">
        <f>'input-output'!L12</f>
        <v>0.99626999999999999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.5" thickBot="1" x14ac:dyDescent="0.25">
      <c r="B70" s="122" t="s">
        <v>27</v>
      </c>
      <c r="C70" s="123"/>
      <c r="D70" s="123"/>
      <c r="E70" s="124">
        <f>'input-output'!L13</f>
        <v>2.79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">
      <c r="J73" s="12">
        <v>22</v>
      </c>
      <c r="K73" s="12">
        <v>0.99780000000000002</v>
      </c>
      <c r="L73" s="61">
        <f t="shared" si="10"/>
        <v>0.99780000000000002</v>
      </c>
    </row>
    <row r="74" spans="2:37" ht="13.5" thickBot="1" x14ac:dyDescent="0.25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">
      <c r="B75" s="278" t="s">
        <v>114</v>
      </c>
      <c r="C75" s="279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">
      <c r="B76" s="280"/>
      <c r="C76" s="281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">
      <c r="B82" s="127">
        <f t="shared" si="11"/>
        <v>0.6</v>
      </c>
      <c r="C82" s="129">
        <f t="shared" si="12"/>
        <v>100</v>
      </c>
    </row>
    <row r="83" spans="2:30" x14ac:dyDescent="0.2">
      <c r="B83" s="127">
        <f t="shared" si="11"/>
        <v>0.3</v>
      </c>
      <c r="C83" s="129">
        <f t="shared" si="12"/>
        <v>100</v>
      </c>
      <c r="J83" s="10" t="s">
        <v>75</v>
      </c>
    </row>
    <row r="84" spans="2:30" ht="22.5" x14ac:dyDescent="0.2">
      <c r="B84" s="127">
        <f t="shared" si="11"/>
        <v>0.15</v>
      </c>
      <c r="C84" s="129">
        <f t="shared" si="12"/>
        <v>99.7</v>
      </c>
      <c r="J84" s="15" t="s">
        <v>7</v>
      </c>
      <c r="K84" s="57" t="s">
        <v>76</v>
      </c>
      <c r="L84" s="62" t="s">
        <v>77</v>
      </c>
    </row>
    <row r="85" spans="2:30" ht="45" x14ac:dyDescent="0.2">
      <c r="B85" s="127">
        <f t="shared" si="11"/>
        <v>7.4999999999999997E-2</v>
      </c>
      <c r="C85" s="184">
        <f>O21</f>
        <v>97.8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">
      <c r="B86" s="130">
        <f>V36</f>
        <v>5.0680000000000003E-2</v>
      </c>
      <c r="C86" s="131">
        <f>Q36</f>
        <v>86.371669020000013</v>
      </c>
      <c r="F86" s="55"/>
      <c r="J86" s="12">
        <v>4</v>
      </c>
      <c r="K86" s="12">
        <v>1.567E-2</v>
      </c>
      <c r="L86" s="60"/>
    </row>
    <row r="87" spans="2:30" x14ac:dyDescent="0.2">
      <c r="B87" s="130">
        <f t="shared" ref="B87:B99" si="13">V37</f>
        <v>3.7010000000000001E-2</v>
      </c>
      <c r="C87" s="131">
        <f t="shared" ref="C87:C99" si="14">Q37</f>
        <v>79.727694479999997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">
      <c r="B88" s="130">
        <f t="shared" si="13"/>
        <v>2.724E-2</v>
      </c>
      <c r="C88" s="131">
        <f t="shared" si="14"/>
        <v>70.236302280000004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">
      <c r="B89" s="130">
        <f t="shared" si="13"/>
        <v>1.9990000000000001E-2</v>
      </c>
      <c r="C89" s="131">
        <f t="shared" si="14"/>
        <v>61.694049299999996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">
      <c r="B90" s="130">
        <f t="shared" si="13"/>
        <v>1.469E-2</v>
      </c>
      <c r="C90" s="131">
        <f t="shared" si="14"/>
        <v>51.25351787999999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">
      <c r="B91" s="130">
        <f t="shared" si="13"/>
        <v>1.095E-2</v>
      </c>
      <c r="C91" s="131">
        <f t="shared" si="14"/>
        <v>44.609543339999988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">
      <c r="B92" s="130">
        <f t="shared" si="13"/>
        <v>7.9799999999999992E-3</v>
      </c>
      <c r="C92" s="131">
        <f t="shared" si="14"/>
        <v>36.067290359999994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">
      <c r="B93" s="130">
        <f t="shared" si="13"/>
        <v>5.7499999999999999E-3</v>
      </c>
      <c r="C93" s="131">
        <f t="shared" si="14"/>
        <v>30.372455039999998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">
      <c r="B94" s="130">
        <f t="shared" si="13"/>
        <v>4.1200000000000004E-3</v>
      </c>
      <c r="C94" s="131">
        <f t="shared" si="14"/>
        <v>25.626758939999995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">
      <c r="B95" s="130">
        <f t="shared" si="13"/>
        <v>2.9499999999999999E-3</v>
      </c>
      <c r="C95" s="131">
        <f t="shared" si="14"/>
        <v>21.830202060000001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">
      <c r="B96" s="130">
        <f t="shared" si="13"/>
        <v>2.1199999999999999E-3</v>
      </c>
      <c r="C96" s="131">
        <f t="shared" si="14"/>
        <v>16.135366739999998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">
      <c r="B97" s="130">
        <f>V47</f>
        <v>1.2199999999999999E-3</v>
      </c>
      <c r="C97" s="131">
        <f t="shared" si="14"/>
        <v>15.376055363999999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">
      <c r="B98" s="130">
        <f t="shared" si="13"/>
        <v>8.5999999999999998E-4</v>
      </c>
      <c r="C98" s="131">
        <f t="shared" si="14"/>
        <v>14.426916144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.5" thickBot="1" x14ac:dyDescent="0.25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">
      <c r="AF102" s="34"/>
      <c r="AG102" s="34"/>
      <c r="AH102" s="34"/>
      <c r="AI102" s="34"/>
      <c r="AJ102" s="34"/>
    </row>
    <row r="103" spans="2:37" x14ac:dyDescent="0.2">
      <c r="J103" s="10" t="s">
        <v>74</v>
      </c>
      <c r="AF103" s="34"/>
      <c r="AG103" s="34"/>
      <c r="AH103" s="34"/>
      <c r="AI103" s="34"/>
      <c r="AJ103" s="34"/>
    </row>
    <row r="104" spans="2:37" x14ac:dyDescent="0.2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x14ac:dyDescent="0.2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">
      <c r="J115" s="12">
        <v>24</v>
      </c>
      <c r="K115" s="12">
        <v>1</v>
      </c>
      <c r="L115" s="12">
        <f t="shared" si="16"/>
        <v>0.97759387159550037</v>
      </c>
    </row>
    <row r="116" spans="10:26" x14ac:dyDescent="0.2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">
      <c r="J119" s="12">
        <v>28</v>
      </c>
      <c r="K119" s="12">
        <v>2.5</v>
      </c>
      <c r="L119" s="12">
        <f t="shared" si="16"/>
        <v>2.5022961817035121</v>
      </c>
    </row>
    <row r="120" spans="10:26" x14ac:dyDescent="0.2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75" x14ac:dyDescent="0.2"/>
  <cols>
    <col min="1" max="1" width="14.85546875" bestFit="1" customWidth="1"/>
    <col min="2" max="2" width="18.85546875" customWidth="1"/>
    <col min="3" max="3" width="19" customWidth="1"/>
    <col min="4" max="4" width="17.5703125" customWidth="1"/>
    <col min="5" max="5" width="17" customWidth="1"/>
    <col min="6" max="6" width="15" customWidth="1"/>
    <col min="7" max="7" width="15.5703125" customWidth="1"/>
    <col min="8" max="9" width="15" bestFit="1" customWidth="1"/>
    <col min="10" max="10" width="10.85546875" bestFit="1" customWidth="1"/>
  </cols>
  <sheetData>
    <row r="2" spans="1:12" ht="13.5" thickBot="1" x14ac:dyDescent="0.25"/>
    <row r="3" spans="1:12" x14ac:dyDescent="0.2">
      <c r="A3" s="151" t="s">
        <v>115</v>
      </c>
      <c r="B3" s="148" t="s">
        <v>112</v>
      </c>
      <c r="C3" s="148" t="s">
        <v>113</v>
      </c>
      <c r="D3" s="284" t="s">
        <v>126</v>
      </c>
      <c r="E3" s="285"/>
      <c r="F3" s="284" t="s">
        <v>127</v>
      </c>
      <c r="G3" s="285"/>
      <c r="H3" s="152" t="s">
        <v>128</v>
      </c>
      <c r="I3" s="152" t="s">
        <v>129</v>
      </c>
      <c r="J3" s="153" t="s">
        <v>130</v>
      </c>
    </row>
    <row r="4" spans="1:12" x14ac:dyDescent="0.2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x14ac:dyDescent="0.2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x14ac:dyDescent="0.2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97.800000000000011</v>
      </c>
      <c r="J6" s="154">
        <f t="shared" si="1"/>
        <v>2.2000000000000002</v>
      </c>
    </row>
    <row r="7" spans="1:12" ht="13.5" thickBot="1" x14ac:dyDescent="0.2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5.0680000000000003E-2</v>
      </c>
      <c r="F7" s="114">
        <f>INDEX(main!$B$79:$C$99,MATCH(B7,main!$B$79:$B$99,-1),2)</f>
        <v>97.8</v>
      </c>
      <c r="G7" s="114">
        <f>INDEX(main!$B$79:$C$99,MATCH(B7,main!$B$79:$B$99,-1)+1,2)</f>
        <v>86.371669020000013</v>
      </c>
      <c r="H7" s="114" cm="1">
        <f t="array" ref="H7">TREND(F7:G7,LOG10(D7:E7),LOG10(B7),TRUE)</f>
        <v>97.800000000000011</v>
      </c>
      <c r="I7" s="114">
        <f t="shared" si="0"/>
        <v>28.382731662283405</v>
      </c>
      <c r="J7" s="154">
        <f t="shared" si="1"/>
        <v>69.42</v>
      </c>
    </row>
    <row r="8" spans="1:12" x14ac:dyDescent="0.2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5.7499999999999999E-3</v>
      </c>
      <c r="E8" s="114">
        <f>INDEX(main!$B$79:$C$99,MATCH(B8,main!$B$79:$B$99,-1)+1,1)</f>
        <v>4.1200000000000004E-3</v>
      </c>
      <c r="F8" s="114">
        <f>INDEX(main!$B$79:$C$99,MATCH(B8,main!$B$79:$B$99,-1),2)</f>
        <v>30.372455039999998</v>
      </c>
      <c r="G8" s="114">
        <f>INDEX(main!$B$79:$C$99,MATCH(B8,main!$B$79:$B$99,-1)+1,2)</f>
        <v>25.626758939999995</v>
      </c>
      <c r="H8" s="114" cm="1">
        <f t="array" ref="H8">TREND(F8:G8,LOG10(D8:E8),LOG10(B8),TRUE)</f>
        <v>28.382731662283405</v>
      </c>
      <c r="I8" s="114">
        <f t="shared" si="0"/>
        <v>14.836303238522241</v>
      </c>
      <c r="J8" s="154">
        <f t="shared" si="1"/>
        <v>13.55</v>
      </c>
      <c r="K8" s="286" t="s">
        <v>138</v>
      </c>
      <c r="L8" s="164">
        <f>J9+J8</f>
        <v>28.39</v>
      </c>
    </row>
    <row r="9" spans="1:12" ht="13.5" thickBot="1" x14ac:dyDescent="0.2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1.2199999999999999E-3</v>
      </c>
      <c r="E9" s="138">
        <f>INDEX(main!$B$79:$C$99,MATCH(B9,main!$B$79:$B$99,-1)+1,1)</f>
        <v>8.5999999999999998E-4</v>
      </c>
      <c r="F9" s="138">
        <f>INDEX(main!$B$79:$C$99,MATCH(B9,main!$B$79:$B$99,-1),2)</f>
        <v>15.376055363999999</v>
      </c>
      <c r="G9" s="138">
        <f>INDEX(main!$B$79:$C$99,MATCH(B9,main!$B$79:$B$99,-1)+1,2)</f>
        <v>14.426916144</v>
      </c>
      <c r="H9" s="138" cm="1">
        <f t="array" ref="H9">TREND(F9:G9,LOG10(D9:E9),LOG10(B9),TRUE)</f>
        <v>14.836303238522241</v>
      </c>
      <c r="I9" s="138">
        <f t="shared" si="0"/>
        <v>0</v>
      </c>
      <c r="J9" s="155">
        <f t="shared" si="1"/>
        <v>14.84</v>
      </c>
      <c r="K9" s="287"/>
      <c r="L9" s="163"/>
    </row>
    <row r="10" spans="1:12" ht="13.5" thickBot="1" x14ac:dyDescent="0.25">
      <c r="G10" s="146" t="s">
        <v>131</v>
      </c>
      <c r="H10" s="147">
        <v>0</v>
      </c>
    </row>
    <row r="11" spans="1:12" ht="13.5" thickBot="1" x14ac:dyDescent="0.25"/>
    <row r="12" spans="1:12" x14ac:dyDescent="0.2">
      <c r="A12" s="139" t="s">
        <v>105</v>
      </c>
      <c r="B12" s="284" t="s">
        <v>132</v>
      </c>
      <c r="C12" s="285"/>
      <c r="D12" s="284" t="s">
        <v>121</v>
      </c>
      <c r="E12" s="285"/>
      <c r="F12" s="177" t="s">
        <v>122</v>
      </c>
      <c r="G12" s="177" t="s">
        <v>123</v>
      </c>
      <c r="H12" s="135" t="s">
        <v>124</v>
      </c>
    </row>
    <row r="13" spans="1:12" x14ac:dyDescent="0.2">
      <c r="A13" s="140">
        <v>10</v>
      </c>
      <c r="B13" s="141">
        <f>INDEX(main!$B$79:$C$99,MATCH(A13,main!$C$79:$C$99,-1),2)</f>
        <v>14.426916144</v>
      </c>
      <c r="C13" s="141" t="e">
        <f>INDEX(main!$B$79:$C$99,MATCH(A13,main!$C$79:$C$99,-1)+1,2)</f>
        <v>#REF!</v>
      </c>
      <c r="D13" s="141">
        <f>INDEX(main!$B$79:$C$99,MATCH(A13,main!$C$79:$C$99,-1),1)</f>
        <v>8.5999999999999998E-4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x14ac:dyDescent="0.2">
      <c r="A14" s="140">
        <v>30</v>
      </c>
      <c r="B14" s="141">
        <f>INDEX(main!$B$79:$C$99,MATCH(A14,main!$C$79:$C$99,-1),2)</f>
        <v>30.372455039999998</v>
      </c>
      <c r="C14" s="141">
        <f>INDEX(main!$B$79:$C$99,MATCH(A14,main!$C$79:$C$99,-1)+1,2)</f>
        <v>25.626758939999995</v>
      </c>
      <c r="D14" s="141">
        <f>INDEX(main!$B$79:$C$99,MATCH(A14,main!$C$79:$C$99,-1),1)</f>
        <v>5.7499999999999999E-3</v>
      </c>
      <c r="E14" s="141">
        <f>INDEX(main!$B$79:$C$99,MATCH(A14,main!$C$79:$C$99,-1)+1,1)</f>
        <v>4.1200000000000004E-3</v>
      </c>
      <c r="F14" s="175" cm="1">
        <f t="array" ref="F14">IF(ISERROR(E14)=FALSE,ROUND(10^TREND(LOG10(D14:E14),B14:C14,A14),3),"---")</f>
        <v>6.0000000000000001E-3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x14ac:dyDescent="0.2">
      <c r="A15" s="140">
        <v>60</v>
      </c>
      <c r="B15" s="141">
        <f>INDEX(main!$B$79:$C$99,MATCH(A15,main!$C$79:$C$99,-1),2)</f>
        <v>61.694049299999996</v>
      </c>
      <c r="C15" s="141">
        <f>INDEX(main!$B$79:$C$99,MATCH(A15,main!$C$79:$C$99,-1)+1,2)</f>
        <v>51.25351787999999</v>
      </c>
      <c r="D15" s="141">
        <f>INDEX(main!$B$79:$C$99,MATCH(A15,main!$C$79:$C$99,-1),1)</f>
        <v>1.9990000000000001E-2</v>
      </c>
      <c r="E15" s="141">
        <f>INDEX(main!$B$79:$C$99,MATCH(A15,main!$C$79:$C$99,-1)+1,1)</f>
        <v>1.469E-2</v>
      </c>
      <c r="F15" s="175" cm="1">
        <f t="array" ref="F15">IF(ISERROR(E15)=FALSE,ROUND(10^TREND(LOG10(D15:E15),B15:C15,A15),3),"---")</f>
        <v>1.9E-2</v>
      </c>
      <c r="G15" s="175"/>
      <c r="H15" s="136"/>
    </row>
    <row r="16" spans="1:12" ht="13.5" thickBot="1" x14ac:dyDescent="0.25">
      <c r="A16" s="142">
        <v>50</v>
      </c>
      <c r="B16" s="178">
        <f>INDEX(main!$B$79:$C$99,MATCH(A16,main!$C$79:$C$99,-1),2)</f>
        <v>51.25351787999999</v>
      </c>
      <c r="C16" s="178">
        <f>INDEX(main!$B$79:$C$99,MATCH(A16,main!$C$79:$C$99,-1)+1,2)</f>
        <v>44.609543339999988</v>
      </c>
      <c r="D16" s="178">
        <f>INDEX(main!$B$79:$C$99,MATCH(A16,main!$C$79:$C$99,-1),1)</f>
        <v>1.469E-2</v>
      </c>
      <c r="E16" s="178">
        <f>INDEX(main!$B$79:$C$99,MATCH(A16,main!$C$79:$C$99,-1)+1,1)</f>
        <v>1.095E-2</v>
      </c>
      <c r="F16" s="179" cm="1">
        <f t="array" ref="F16">IF(ISERROR(E16)=FALSE,ROUND(10^TREND(LOG10(D16:E16),B16:C16,A16),3),"---")</f>
        <v>1.4E-2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16" zoomScaleNormal="100" zoomScaleSheetLayoutView="100" workbookViewId="0">
      <selection activeCell="C39" sqref="C39"/>
    </sheetView>
  </sheetViews>
  <sheetFormatPr defaultRowHeight="12.75" x14ac:dyDescent="0.2"/>
  <cols>
    <col min="4" max="4" width="9.28515625" bestFit="1" customWidth="1"/>
    <col min="7" max="7" width="11.140625" customWidth="1"/>
    <col min="8" max="8" width="7.7109375" customWidth="1"/>
    <col min="9" max="9" width="8.140625" customWidth="1"/>
  </cols>
  <sheetData>
    <row r="1" spans="1:9" ht="14.25" x14ac:dyDescent="0.2">
      <c r="B1" s="4"/>
      <c r="C1" s="4"/>
      <c r="D1" s="4"/>
      <c r="E1" s="4"/>
      <c r="F1" s="4"/>
      <c r="G1" s="4"/>
      <c r="H1" s="4"/>
    </row>
    <row r="2" spans="1:9" ht="14.25" x14ac:dyDescent="0.2">
      <c r="A2" s="4"/>
      <c r="B2" s="4"/>
      <c r="C2" s="5"/>
      <c r="D2" s="4"/>
      <c r="E2" s="4"/>
      <c r="F2" s="4"/>
      <c r="G2" s="4"/>
      <c r="H2" s="4"/>
    </row>
    <row r="3" spans="1:9" x14ac:dyDescent="0.2">
      <c r="D3" s="6"/>
    </row>
    <row r="4" spans="1:9" x14ac:dyDescent="0.2">
      <c r="D4" s="9"/>
    </row>
    <row r="8" spans="1:9" ht="12.75" customHeight="1" x14ac:dyDescent="0.2">
      <c r="A8" s="84" t="s">
        <v>93</v>
      </c>
      <c r="B8" s="156" t="str">
        <f>main!B8</f>
        <v>1102-05882/CE/19-20 Dated 23/01/2020</v>
      </c>
      <c r="C8" s="157"/>
      <c r="D8" s="157"/>
      <c r="E8" s="157"/>
      <c r="F8" s="259" t="s">
        <v>45</v>
      </c>
      <c r="G8" s="289" t="str">
        <f>main!G8</f>
        <v>NE-003 (28+5B) MULTISTORIED COMMERCIAL BUILDING</v>
      </c>
      <c r="H8" s="289"/>
      <c r="I8" s="289"/>
    </row>
    <row r="9" spans="1:9" x14ac:dyDescent="0.2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59"/>
      <c r="G9" s="289"/>
      <c r="H9" s="289"/>
      <c r="I9" s="289"/>
    </row>
    <row r="10" spans="1:9" x14ac:dyDescent="0.2">
      <c r="A10" s="84" t="s">
        <v>94</v>
      </c>
      <c r="B10" s="156" t="str">
        <f>main!B10</f>
        <v>Letter Dated 23/01/2020</v>
      </c>
      <c r="C10" s="156"/>
      <c r="D10" s="156"/>
      <c r="E10" s="156"/>
      <c r="F10" s="259"/>
      <c r="G10" s="289"/>
      <c r="H10" s="289"/>
      <c r="I10" s="289"/>
    </row>
    <row r="11" spans="1:9" x14ac:dyDescent="0.2">
      <c r="A11" s="98" t="s">
        <v>97</v>
      </c>
      <c r="B11" s="97"/>
      <c r="C11" s="156">
        <f>main!C11</f>
        <v>2</v>
      </c>
      <c r="D11" s="158"/>
      <c r="E11" s="99"/>
      <c r="F11" s="259"/>
      <c r="G11" s="289"/>
      <c r="H11" s="289"/>
      <c r="I11" s="289"/>
    </row>
    <row r="12" spans="1:9" x14ac:dyDescent="0.2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">
      <c r="A13" s="98" t="s">
        <v>99</v>
      </c>
      <c r="B13" s="89"/>
      <c r="C13" s="106" t="str">
        <f>main!C13</f>
        <v>2.0m - 2.5m</v>
      </c>
      <c r="D13" s="53"/>
      <c r="E13" s="99"/>
      <c r="F13" s="290" t="s">
        <v>100</v>
      </c>
      <c r="G13" s="289" t="str">
        <f>main!G13</f>
        <v>ASTM D422, D854, D1140, D6913, D7928</v>
      </c>
      <c r="H13" s="289"/>
      <c r="I13" s="289"/>
    </row>
    <row r="14" spans="1:9" x14ac:dyDescent="0.2">
      <c r="A14" s="98" t="s">
        <v>102</v>
      </c>
      <c r="B14" s="89"/>
      <c r="C14" s="106"/>
      <c r="D14" s="291" t="str">
        <f>main!D14</f>
        <v>Red Silty Clay</v>
      </c>
      <c r="E14" s="291"/>
      <c r="F14" s="290"/>
      <c r="G14" s="289"/>
      <c r="H14" s="289"/>
      <c r="I14" s="289"/>
    </row>
    <row r="15" spans="1:9" ht="15.75" x14ac:dyDescent="0.25">
      <c r="B15" s="81"/>
      <c r="C15" s="23"/>
      <c r="D15" s="291"/>
      <c r="E15" s="291"/>
      <c r="G15" s="1"/>
    </row>
    <row r="16" spans="1:9" ht="17.25" customHeight="1" x14ac:dyDescent="0.2">
      <c r="A16" s="288" t="s">
        <v>95</v>
      </c>
      <c r="B16" s="288"/>
      <c r="C16" s="288"/>
      <c r="D16" s="288"/>
      <c r="E16" s="288"/>
      <c r="F16" s="288"/>
      <c r="G16" s="288"/>
      <c r="H16" s="288"/>
      <c r="I16" s="288"/>
    </row>
    <row r="17" spans="1:9" ht="9.9499999999999993" customHeight="1" x14ac:dyDescent="0.2">
      <c r="C17" s="1"/>
      <c r="D17" s="8"/>
      <c r="E17" s="1"/>
      <c r="F17" s="1"/>
      <c r="G17" s="1"/>
    </row>
    <row r="18" spans="1:9" ht="9.9499999999999993" customHeight="1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ht="9.9499999999999993" customHeight="1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ht="9.9499999999999993" customHeight="1" x14ac:dyDescent="0.2">
      <c r="A20" s="1"/>
      <c r="B20" s="1"/>
      <c r="C20" s="1"/>
      <c r="D20" s="1"/>
      <c r="E20" s="1"/>
      <c r="F20" s="1"/>
      <c r="G20" s="1"/>
      <c r="H20" s="1"/>
      <c r="I20" s="1"/>
    </row>
    <row r="21" spans="1:9" ht="9.9499999999999993" customHeight="1" x14ac:dyDescent="0.2">
      <c r="A21" s="1"/>
      <c r="B21" s="1"/>
      <c r="C21" s="1"/>
      <c r="D21" s="1"/>
      <c r="E21" s="1"/>
      <c r="F21" s="1"/>
      <c r="G21" s="1"/>
      <c r="H21" s="1"/>
      <c r="I21" s="1"/>
    </row>
    <row r="22" spans="1:9" ht="9.9499999999999993" customHeight="1" x14ac:dyDescent="0.2">
      <c r="A22" s="1"/>
      <c r="B22" s="1"/>
      <c r="C22" s="1"/>
      <c r="D22" s="1"/>
      <c r="E22" s="1"/>
      <c r="F22" s="1"/>
      <c r="G22" s="1"/>
      <c r="H22" s="1"/>
      <c r="I22" s="1"/>
    </row>
    <row r="23" spans="1:9" ht="9.9499999999999993" customHeight="1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"/>
    <row r="25" spans="1:9" ht="16.5" customHeight="1" x14ac:dyDescent="0.2"/>
    <row r="26" spans="1:9" ht="18" customHeight="1" x14ac:dyDescent="0.2"/>
    <row r="27" spans="1:9" ht="21" customHeight="1" x14ac:dyDescent="0.2">
      <c r="B27" s="1"/>
      <c r="C27" s="1"/>
      <c r="D27" s="1"/>
      <c r="E27" s="1"/>
      <c r="F27" s="1"/>
      <c r="G27" s="1"/>
    </row>
    <row r="28" spans="1:9" ht="20.100000000000001" customHeight="1" x14ac:dyDescent="0.2"/>
    <row r="29" spans="1:9" ht="20.100000000000001" customHeight="1" x14ac:dyDescent="0.2"/>
    <row r="30" spans="1:9" ht="20.100000000000001" customHeight="1" x14ac:dyDescent="0.2"/>
    <row r="31" spans="1:9" ht="20.100000000000001" customHeight="1" x14ac:dyDescent="0.2"/>
    <row r="32" spans="1:9" ht="20.100000000000001" customHeight="1" x14ac:dyDescent="0.2"/>
    <row r="33" spans="1:10" ht="20.100000000000001" customHeight="1" x14ac:dyDescent="0.2">
      <c r="J33" s="22"/>
    </row>
    <row r="34" spans="1:10" ht="20.100000000000001" customHeight="1" x14ac:dyDescent="0.2"/>
    <row r="35" spans="1:10" ht="20.100000000000001" customHeight="1" x14ac:dyDescent="0.2"/>
    <row r="36" spans="1:10" ht="20.100000000000001" customHeight="1" x14ac:dyDescent="0.2"/>
    <row r="37" spans="1:10" ht="20.100000000000001" customHeight="1" x14ac:dyDescent="0.2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00000000000001" customHeight="1" x14ac:dyDescent="0.2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6.0000000000000001E-3</v>
      </c>
      <c r="G38" s="143" t="s">
        <v>8</v>
      </c>
      <c r="H38" s="143"/>
      <c r="I38" s="143"/>
    </row>
    <row r="39" spans="1:10" ht="20.100000000000001" customHeight="1" x14ac:dyDescent="0.2">
      <c r="A39" s="143" t="s">
        <v>109</v>
      </c>
      <c r="B39" s="143"/>
      <c r="C39" s="171">
        <f>'Some Calculations'!J6</f>
        <v>2.2000000000000002</v>
      </c>
      <c r="D39" s="143" t="s">
        <v>125</v>
      </c>
      <c r="E39" s="143" t="s">
        <v>137</v>
      </c>
      <c r="F39" s="145">
        <f>'Some Calculations'!F15</f>
        <v>1.9E-2</v>
      </c>
      <c r="G39" s="143" t="s">
        <v>8</v>
      </c>
      <c r="H39" s="143"/>
      <c r="I39" s="143"/>
    </row>
    <row r="40" spans="1:10" ht="20.100000000000001" customHeight="1" x14ac:dyDescent="0.2">
      <c r="A40" s="143" t="s">
        <v>110</v>
      </c>
      <c r="B40" s="143"/>
      <c r="C40" s="171">
        <f>'Some Calculations'!J7</f>
        <v>69.42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00000000000001" customHeight="1" x14ac:dyDescent="0.2">
      <c r="A41" s="143" t="s">
        <v>111</v>
      </c>
      <c r="B41" s="143"/>
      <c r="C41" s="171">
        <f>'Some Calculations'!L8</f>
        <v>28.39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00000000000001" customHeight="1" x14ac:dyDescent="0.2">
      <c r="A42" s="182" t="s">
        <v>152</v>
      </c>
      <c r="B42" s="144"/>
      <c r="C42" s="183">
        <f>'Some Calculations'!F16</f>
        <v>1.4E-2</v>
      </c>
      <c r="D42" s="182" t="s">
        <v>8</v>
      </c>
      <c r="E42" s="143" t="s">
        <v>151</v>
      </c>
      <c r="F42" s="143"/>
      <c r="G42" s="144"/>
      <c r="H42" s="143">
        <f>main!GS</f>
        <v>2.79</v>
      </c>
      <c r="I42" s="143"/>
    </row>
    <row r="43" spans="1:10" ht="20.100000000000001" customHeight="1" x14ac:dyDescent="0.2">
      <c r="A43" s="82"/>
      <c r="B43" s="82"/>
      <c r="C43" s="82"/>
      <c r="D43" s="82"/>
      <c r="E43" s="82"/>
      <c r="F43" s="82"/>
      <c r="G43" s="82"/>
      <c r="H43" s="82"/>
      <c r="I43" s="82"/>
    </row>
    <row r="44" spans="1:10" x14ac:dyDescent="0.2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"/>
    <row r="46" spans="1:10" ht="15.75" customHeight="1" x14ac:dyDescent="0.2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Minhazul Hoque</cp:lastModifiedBy>
  <cp:lastPrinted>2015-10-16T12:06:54Z</cp:lastPrinted>
  <dcterms:created xsi:type="dcterms:W3CDTF">2000-01-03T08:46:43Z</dcterms:created>
  <dcterms:modified xsi:type="dcterms:W3CDTF">2022-01-09T11:07:08Z</dcterms:modified>
</cp:coreProperties>
</file>