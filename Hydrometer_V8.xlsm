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nas\Desktop\ANN excel Sheet\"/>
    </mc:Choice>
  </mc:AlternateContent>
  <xr:revisionPtr revIDLastSave="0" documentId="13_ncr:1_{AAFDB755-9D9B-4AF7-B0C9-32A9B853609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input-output" sheetId="33" r:id="rId1"/>
    <sheet name="output-table" sheetId="34" r:id="rId2"/>
    <sheet name="main" sheetId="30" r:id="rId3"/>
    <sheet name="Some Calculations" sheetId="32" r:id="rId4"/>
    <sheet name="Report" sheetId="31" r:id="rId5"/>
  </sheets>
  <externalReferences>
    <externalReference r:id="rId6"/>
  </externalReferences>
  <definedNames>
    <definedName name="Agrad" localSheetId="2">main!$U$28</definedName>
    <definedName name="Agrad" localSheetId="4">Report!#REF!</definedName>
    <definedName name="Agrad">#REF!</definedName>
    <definedName name="GS" localSheetId="2">main!$E$70</definedName>
    <definedName name="GS" localSheetId="4">Report!#REF!</definedName>
    <definedName name="GS">#REF!</definedName>
    <definedName name="Ltwo" localSheetId="2">main!$P$28</definedName>
    <definedName name="Ltwo" localSheetId="4">Report!#REF!</definedName>
    <definedName name="Ltwo">#REF!</definedName>
    <definedName name="_xlnm.Print_Area" localSheetId="2">main!$A$1:$I$50</definedName>
    <definedName name="_xlnm.Print_Area" localSheetId="4">Report!$A$1:$Q$55</definedName>
    <definedName name="Vb" localSheetId="2">main!$Q$29</definedName>
    <definedName name="Vb" localSheetId="4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33" l="1"/>
  <c r="D17" i="33"/>
  <c r="D18" i="33"/>
  <c r="E18" i="33" s="1"/>
  <c r="D19" i="33"/>
  <c r="E19" i="33" s="1"/>
  <c r="E16" i="33"/>
  <c r="N36" i="33"/>
  <c r="M36" i="33"/>
  <c r="O28" i="33"/>
  <c r="N28" i="33"/>
  <c r="M28" i="33"/>
  <c r="O27" i="33"/>
  <c r="N27" i="33"/>
  <c r="M27" i="33"/>
  <c r="H29" i="33"/>
  <c r="G29" i="33"/>
  <c r="F29" i="33"/>
  <c r="E29" i="33"/>
  <c r="D29" i="33"/>
  <c r="H28" i="33"/>
  <c r="G28" i="33"/>
  <c r="F28" i="33"/>
  <c r="E28" i="33"/>
  <c r="D28" i="33"/>
  <c r="E17" i="33" l="1"/>
  <c r="D30" i="33"/>
  <c r="O29" i="33"/>
  <c r="F30" i="33"/>
  <c r="H30" i="33"/>
  <c r="M29" i="33"/>
  <c r="G30" i="33"/>
  <c r="E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L12" i="33"/>
  <c r="L13" i="33" s="1"/>
  <c r="E70" i="30" s="1"/>
  <c r="V27" i="30" s="1"/>
  <c r="B79" i="30"/>
  <c r="B80" i="30"/>
  <c r="B81" i="30"/>
  <c r="B82" i="30"/>
  <c r="B83" i="30"/>
  <c r="B84" i="30"/>
  <c r="B85" i="30"/>
  <c r="E69" i="30" l="1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G8" i="32" l="1"/>
  <c r="C86" i="30"/>
  <c r="E16" i="32" s="1"/>
  <c r="H4" i="32" a="1"/>
  <c r="H4" i="32" s="1"/>
  <c r="G9" i="32"/>
  <c r="F8" i="32"/>
  <c r="H8" i="32" s="1" a="1"/>
  <c r="H8" i="32" s="1"/>
  <c r="D15" i="32"/>
  <c r="F9" i="32"/>
  <c r="I5" i="32"/>
  <c r="J5" i="32" s="1"/>
  <c r="C38" i="31" s="1"/>
  <c r="I4" i="32"/>
  <c r="C13" i="32" l="1"/>
  <c r="C14" i="32"/>
  <c r="D13" i="32"/>
  <c r="C15" i="32"/>
  <c r="G7" i="32"/>
  <c r="E14" i="32"/>
  <c r="B14" i="32"/>
  <c r="B15" i="32"/>
  <c r="B16" i="32"/>
  <c r="C16" i="32"/>
  <c r="D14" i="32"/>
  <c r="E13" i="32"/>
  <c r="F13" i="32" s="1" a="1"/>
  <c r="F13" i="32" s="1"/>
  <c r="B13" i="32"/>
  <c r="E15" i="32"/>
  <c r="D16" i="32"/>
  <c r="H9" i="32" a="1"/>
  <c r="H9" i="32" s="1"/>
  <c r="I8" i="32" s="1"/>
  <c r="J8" i="32" s="1"/>
  <c r="J4" i="32"/>
  <c r="C37" i="31" s="1"/>
  <c r="I7" i="32"/>
  <c r="F15" i="32" l="1" a="1"/>
  <c r="F15" i="32" s="1"/>
  <c r="F39" i="31" s="1"/>
  <c r="F14" i="32" a="1"/>
  <c r="F14" i="32" s="1"/>
  <c r="F38" i="31" s="1"/>
  <c r="F37" i="31"/>
  <c r="J9" i="32"/>
  <c r="L8" i="32" s="1"/>
  <c r="C41" i="31" s="1"/>
  <c r="L36" i="33" s="1"/>
  <c r="H7" i="32" a="1"/>
  <c r="H7" i="32" s="1"/>
  <c r="F16" i="32" a="1"/>
  <c r="F16" i="32" s="1"/>
  <c r="C42" i="31" s="1"/>
  <c r="H14" i="32" l="1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<sst xmlns="http://schemas.openxmlformats.org/spreadsheetml/2006/main" count="257" uniqueCount="186">
  <si>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</si>
  <si>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</si>
  <si>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</si>
  <si>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</si>
  <si>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</si>
  <si>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</si>
  <si>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</si>
  <si>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</si>
  <si>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</si>
  <si>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</si>
  <si>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</si>
  <si>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</si>
  <si>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</si>
  <si>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</si>
  <si>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</si>
  <si>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</si>
  <si>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</si>
  <si>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</si>
  <si>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</si>
  <si>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</si>
  <si>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</si>
  <si>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</si>
  <si>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</si>
  <si>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</si>
  <si>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</si>
  <si>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</si>
  <si>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</si>
  <si>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</si>
  <si>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</si>
  <si>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</si>
  <si>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</si>
  <si>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</si>
  <si>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</si>
  <si>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</si>
  <si>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</si>
  <si>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</si>
  <si>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</si>
  <si>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</si>
  <si>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</si>
  <si>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</si>
  <si>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</si>
  <si>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</si>
  <si>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</si>
  <si>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</si>
  <si>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</si>
  <si>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</si>
  <si>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</si>
  <si>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</si>
  <si>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</si>
  <si>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</si>
  <si>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</si>
  <si>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</si>
  <si>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</si>
  <si>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</si>
  <si>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</si>
  <si>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</si>
  <si>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</si>
  <si>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</si>
  <si>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</si>
  <si>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</si>
  <si>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</si>
  <si>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</si>
  <si>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</si>
  <si>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</si>
  <si>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</si>
  <si>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</si>
  <si>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</si>
  <si>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</si>
  <si>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</si>
  <si>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</si>
  <si>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</si>
  <si>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</si>
  <si>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</si>
  <si>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</si>
  <si>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</si>
  <si>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</si>
  <si>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</si>
  <si>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</si>
  <si>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</si>
  <si>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</si>
  <si>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</si>
  <si>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</si>
  <si>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</si>
  <si>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</si>
  <si>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</si>
  <si>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</si>
  <si>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</si>
  <si>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</si>
  <si>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</si>
  <si>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</si>
  <si>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</si>
  <si>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</si>
  <si>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</si>
  <si>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</si>
  <si>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</si>
  <si>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</si>
  <si>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</si>
  <si>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</si>
  <si>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</si>
  <si>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</si>
  <si>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</si>
  <si>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</si>
  <si>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</si>
  <si>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</si>
  <si>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</si>
  <si>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</si>
  <si>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</si>
  <si>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</si>
  <si>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</si>
  <si>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</si>
  <si>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</si>
  <si>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</si>
  <si>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</si>
  <si>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</si>
  <si>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</si>
  <si>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</si>
  <si>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</si>
  <si>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</si>
  <si>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</si>
  <si>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</si>
  <si>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</si>
  <si>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</si>
  <si>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</si>
  <si>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</si>
  <si>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</si>
  <si>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</si>
  <si>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</si>
  <si>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</si>
  <si>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</si>
  <si>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</si>
  <si>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</si>
  <si>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</si>
  <si>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</si>
  <si>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</si>
  <si>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</si>
  <si>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</si>
  <si>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</si>
  <si>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</si>
  <si>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</si>
  <si>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</si>
  <si>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</si>
  <si>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</si>
  <si>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</si>
  <si>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</si>
  <si>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</si>
  <si>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</si>
  <si>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</si>
  <si>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</si>
  <si>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</si>
  <si>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</si>
  <si>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</si>
  <si>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</si>
  <si>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</si>
  <si>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</si>
  <si>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</si>
  <si>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</si>
  <si>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</si>
  <si>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</si>
  <si>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</si>
  <si>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</si>
  <si>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</si>
  <si>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</si>
  <si>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</si>
  <si>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</si>
  <si>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</si>
  <si>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</si>
  <si>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</si>
  <si>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</si>
  <si>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</si>
  <si>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</si>
  <si>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</si>
  <si>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</si>
  <si>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</si>
  <si>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</si>
  <si>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</si>
  <si>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</si>
  <si>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</si>
  <si>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</si>
  <si>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</si>
  <si>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</si>
  <si>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UD-4</t>
  </si>
  <si>
    <t>D-30,32</t>
  </si>
  <si>
    <t>time</t>
  </si>
  <si>
    <t>date</t>
  </si>
  <si>
    <t>datetime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</si>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</sst>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"/>
    <numFmt numFmtId="166" formatCode="0.00_)"/>
    <numFmt numFmtId="167" formatCode="[mm]"/>
    <numFmt numFmtId="168" formatCode="d/m/yyyy\ h:mm\ AM/PM"/>
    <numFmt numFmtId="169" formatCode="[$-409]d\-mmm\-yyyy;@"/>
    <numFmt numFmtId="170" formatCode="0.00_);\(0.00\)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84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2" fontId="2" fillId="2" borderId="20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  <xf numFmtId="47" fontId="0" fillId="0" borderId="0" xfId="0" applyNumberFormat="1"/>
    <xf numFmtId="167" fontId="0" fillId="0" borderId="0" xfId="0" applyNumberFormat="1"/>
    <xf numFmtId="2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8" fontId="0" fillId="0" borderId="0" xfId="0" applyNumberFormat="1"/>
    <xf numFmtId="22" fontId="0" fillId="0" borderId="0" xfId="0" applyNumberFormat="1"/>
    <xf numFmtId="170" fontId="1" fillId="0" borderId="0" xfId="0" applyNumberFormat="1" applyFont="1"/>
    <xf numFmtId="0" fontId="2" fillId="5" borderId="11" xfId="0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 vertical="center"/>
    </xf>
    <xf numFmtId="169" fontId="0" fillId="7" borderId="4" xfId="0" applyNumberFormat="1" applyFill="1" applyBorder="1" applyAlignment="1">
      <alignment horizontal="center" vertical="center"/>
    </xf>
    <xf numFmtId="20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67" fontId="0" fillId="7" borderId="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7" borderId="4" xfId="0" applyNumberFormat="1" applyFill="1" applyBorder="1" applyAlignment="1">
      <alignment horizontal="center"/>
    </xf>
    <xf numFmtId="171" fontId="0" fillId="0" borderId="0" xfId="0" applyNumberFormat="1" applyBorder="1"/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2.988E-2</c:v>
                </c:pt>
                <c:pt idx="8">
                  <c:v>2.2110000000000001E-2</c:v>
                </c:pt>
                <c:pt idx="9">
                  <c:v>1.609E-2</c:v>
                </c:pt>
                <c:pt idx="10">
                  <c:v>1.1780000000000001E-2</c:v>
                </c:pt>
                <c:pt idx="11">
                  <c:v>8.6499999999999997E-3</c:v>
                </c:pt>
                <c:pt idx="12">
                  <c:v>6.4599999999999996E-3</c:v>
                </c:pt>
                <c:pt idx="13">
                  <c:v>4.6600000000000001E-3</c:v>
                </c:pt>
                <c:pt idx="14">
                  <c:v>3.3500000000000001E-3</c:v>
                </c:pt>
                <c:pt idx="15">
                  <c:v>2.3999999999999998E-3</c:v>
                </c:pt>
                <c:pt idx="16">
                  <c:v>1.72E-3</c:v>
                </c:pt>
                <c:pt idx="17">
                  <c:v>1.2099999999999999E-3</c:v>
                </c:pt>
                <c:pt idx="18">
                  <c:v>7.1000000000000002E-4</c:v>
                </c:pt>
                <c:pt idx="19">
                  <c:v>5.0000000000000001E-4</c:v>
                </c:pt>
                <c:pt idx="20">
                  <c:v>3.1E-4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94</c:v>
                </c:pt>
                <c:pt idx="5">
                  <c:v>93</c:v>
                </c:pt>
                <c:pt idx="6" formatCode="0.00">
                  <c:v>91</c:v>
                </c:pt>
                <c:pt idx="7" formatCode="0.00">
                  <c:v>61.907052480000004</c:v>
                </c:pt>
                <c:pt idx="8" formatCode="0.00">
                  <c:v>54.440193080000007</c:v>
                </c:pt>
                <c:pt idx="9" formatCode="0.00">
                  <c:v>49.009749880000008</c:v>
                </c:pt>
                <c:pt idx="10" formatCode="0.00">
                  <c:v>42.221695880000006</c:v>
                </c:pt>
                <c:pt idx="11" formatCode="0.00">
                  <c:v>35.433641880000003</c:v>
                </c:pt>
                <c:pt idx="12" formatCode="0.00">
                  <c:v>30.003198680000004</c:v>
                </c:pt>
                <c:pt idx="13" formatCode="0.00">
                  <c:v>25.930366280000001</c:v>
                </c:pt>
                <c:pt idx="14" formatCode="0.00">
                  <c:v>21.857533880000002</c:v>
                </c:pt>
                <c:pt idx="15" formatCode="0.00">
                  <c:v>18.463506880000001</c:v>
                </c:pt>
                <c:pt idx="16" formatCode="0.00">
                  <c:v>16.427090679999999</c:v>
                </c:pt>
                <c:pt idx="17" formatCode="0.00">
                  <c:v>15.748285279999999</c:v>
                </c:pt>
                <c:pt idx="18" formatCode="0.00">
                  <c:v>13.03306368</c:v>
                </c:pt>
                <c:pt idx="19" formatCode="0.00">
                  <c:v>13.168824759999998</c:v>
                </c:pt>
                <c:pt idx="20" formatCode="0.00">
                  <c:v>12.490019360000002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_xludf.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7302500" y="6419850"/>
          <a:ext cx="2095500" cy="330200"/>
        </a:xfrm>
        <a:prstGeom prst="roundRect">
          <a:avLst>
            <a:gd name="adj" fmla="val 19231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9118600" y="1774825"/>
          <a:ext cx="1365250" cy="2784475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/>
      <sheetData sheetId="1">
        <row r="36">
          <cell r="D36">
            <v>41</v>
          </cell>
        </row>
        <row r="45">
          <cell r="I45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abSelected="1" topLeftCell="A4" workbookViewId="0">
      <selection activeCell="J36" sqref="J36:P36"/>
    </sheetView>
  </sheetViews>
  <sheetFormatPr defaultRowHeight="12.5" x14ac:dyDescent="0.25"/>
  <cols>
    <col min="2" max="2" width="11.26953125" customWidth="1"/>
    <col min="3" max="3" width="15.453125" customWidth="1"/>
    <col min="4" max="4" width="16.54296875" customWidth="1"/>
    <col min="9" max="9" width="18.1796875" customWidth="1"/>
    <col min="10" max="11" width="8.7265625" customWidth="1"/>
    <col min="15" max="15" width="9.26953125" customWidth="1"/>
    <col min="16" max="16" width="12.90625" customWidth="1"/>
  </cols>
  <sheetData>
    <row r="1" spans="1:16" ht="13" thickBot="1" x14ac:dyDescent="0.3">
      <c r="A1" s="210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6" ht="13" thickBot="1" x14ac:dyDescent="0.3">
      <c r="A2" s="117"/>
      <c r="B2" s="218" t="s">
        <v>178</v>
      </c>
      <c r="C2" s="186" t="s">
        <v>180</v>
      </c>
      <c r="D2" s="34"/>
      <c r="F2" s="34"/>
      <c r="G2" s="34"/>
      <c r="H2" s="34"/>
      <c r="I2" s="34"/>
      <c r="J2" s="34"/>
      <c r="K2" s="34"/>
      <c r="L2" s="34"/>
      <c r="M2" s="118"/>
    </row>
    <row r="3" spans="1:16" ht="20.5" thickBot="1" x14ac:dyDescent="0.3">
      <c r="A3" s="117"/>
      <c r="B3" s="219" t="s">
        <v>179</v>
      </c>
      <c r="C3" s="220" t="s">
        <v>181</v>
      </c>
      <c r="D3" s="34"/>
      <c r="F3" s="43" t="s">
        <v>37</v>
      </c>
      <c r="G3" s="44" t="s">
        <v>41</v>
      </c>
      <c r="H3" s="45" t="s">
        <v>1</v>
      </c>
      <c r="I3" s="189" t="s">
        <v>158</v>
      </c>
      <c r="J3" s="186">
        <v>3</v>
      </c>
      <c r="K3" s="34"/>
      <c r="L3" s="34"/>
      <c r="M3" s="118"/>
    </row>
    <row r="4" spans="1:16" ht="14" thickBot="1" x14ac:dyDescent="0.4">
      <c r="A4" s="117"/>
      <c r="D4" s="34"/>
      <c r="F4" s="19" t="s">
        <v>38</v>
      </c>
      <c r="G4" s="48" t="s">
        <v>29</v>
      </c>
      <c r="H4" s="49" t="s">
        <v>2</v>
      </c>
      <c r="I4" s="190" t="s">
        <v>159</v>
      </c>
      <c r="J4" s="191">
        <v>0.5</v>
      </c>
      <c r="K4" s="34"/>
      <c r="L4" s="34"/>
      <c r="M4" s="118"/>
    </row>
    <row r="5" spans="1:16" ht="25.5" thickBot="1" x14ac:dyDescent="0.3">
      <c r="A5" s="117"/>
      <c r="B5" s="192" t="s">
        <v>156</v>
      </c>
      <c r="C5" s="193" t="s">
        <v>155</v>
      </c>
      <c r="D5" s="34"/>
      <c r="F5" s="26">
        <v>0.25</v>
      </c>
      <c r="G5" s="26">
        <v>48</v>
      </c>
      <c r="H5" s="26">
        <v>33</v>
      </c>
      <c r="I5" s="34"/>
      <c r="J5" s="34"/>
      <c r="K5" s="34"/>
      <c r="L5" s="34"/>
      <c r="M5" s="118"/>
    </row>
    <row r="6" spans="1:16" ht="13" x14ac:dyDescent="0.3">
      <c r="A6" s="117"/>
      <c r="B6" s="185">
        <v>4</v>
      </c>
      <c r="C6" s="194">
        <v>0</v>
      </c>
      <c r="D6" s="34"/>
      <c r="F6" s="26">
        <v>0.5</v>
      </c>
      <c r="G6" s="26">
        <v>43.5</v>
      </c>
      <c r="H6" s="26">
        <v>31</v>
      </c>
      <c r="I6" s="245" t="s">
        <v>21</v>
      </c>
      <c r="J6" s="246"/>
      <c r="K6" s="246"/>
      <c r="L6" s="247"/>
      <c r="M6" s="118"/>
    </row>
    <row r="7" spans="1:16" x14ac:dyDescent="0.25">
      <c r="A7" s="117"/>
      <c r="B7" s="187">
        <v>8</v>
      </c>
      <c r="C7" s="195">
        <v>0</v>
      </c>
      <c r="D7" s="34"/>
      <c r="F7" s="26">
        <v>1</v>
      </c>
      <c r="G7" s="26">
        <v>38</v>
      </c>
      <c r="H7" s="26">
        <v>31</v>
      </c>
      <c r="I7" s="117" t="s">
        <v>84</v>
      </c>
      <c r="J7" s="34"/>
      <c r="K7" s="34"/>
      <c r="L7" s="170">
        <v>7</v>
      </c>
      <c r="M7" s="118"/>
      <c r="N7" s="83"/>
      <c r="O7" s="83"/>
      <c r="P7" s="83"/>
    </row>
    <row r="8" spans="1:16" ht="13.5" x14ac:dyDescent="0.35">
      <c r="A8" s="117"/>
      <c r="B8" s="187">
        <v>16</v>
      </c>
      <c r="C8" s="195">
        <v>0</v>
      </c>
      <c r="D8" s="34"/>
      <c r="F8" s="26">
        <v>2</v>
      </c>
      <c r="G8" s="26">
        <v>34</v>
      </c>
      <c r="H8" s="26">
        <v>31</v>
      </c>
      <c r="I8" s="119" t="s">
        <v>22</v>
      </c>
      <c r="J8" s="34"/>
      <c r="K8" s="34"/>
      <c r="L8" s="120">
        <v>381.9</v>
      </c>
      <c r="M8" s="118"/>
      <c r="N8" s="227"/>
      <c r="O8" s="233"/>
      <c r="P8" s="227"/>
    </row>
    <row r="9" spans="1:16" x14ac:dyDescent="0.25">
      <c r="A9" s="117"/>
      <c r="B9" s="187">
        <v>30</v>
      </c>
      <c r="C9" s="195">
        <v>0</v>
      </c>
      <c r="D9" s="34"/>
      <c r="F9" s="26">
        <v>4</v>
      </c>
      <c r="G9" s="26">
        <v>29</v>
      </c>
      <c r="H9" s="26">
        <v>31</v>
      </c>
      <c r="I9" s="119" t="s">
        <v>23</v>
      </c>
      <c r="J9" s="34"/>
      <c r="K9" s="34"/>
      <c r="L9" s="120">
        <v>20</v>
      </c>
      <c r="M9" s="118"/>
      <c r="N9" s="227"/>
      <c r="O9" s="225"/>
    </row>
    <row r="10" spans="1:16" ht="13.5" x14ac:dyDescent="0.35">
      <c r="A10" s="117"/>
      <c r="B10" s="187">
        <v>50</v>
      </c>
      <c r="C10" s="195">
        <v>6</v>
      </c>
      <c r="D10" s="34"/>
      <c r="F10" s="26">
        <v>8</v>
      </c>
      <c r="G10" s="26">
        <v>24</v>
      </c>
      <c r="H10" s="26">
        <v>31</v>
      </c>
      <c r="I10" s="119" t="s">
        <v>24</v>
      </c>
      <c r="J10" s="34"/>
      <c r="K10" s="34"/>
      <c r="L10" s="120">
        <v>340.4</v>
      </c>
      <c r="M10" s="118"/>
      <c r="N10" s="227"/>
      <c r="O10" s="232"/>
    </row>
    <row r="11" spans="1:16" ht="13.5" x14ac:dyDescent="0.35">
      <c r="A11" s="117"/>
      <c r="B11" s="187">
        <v>100</v>
      </c>
      <c r="C11" s="195">
        <v>1</v>
      </c>
      <c r="D11" s="34"/>
      <c r="F11" s="26">
        <v>15</v>
      </c>
      <c r="G11" s="26">
        <v>20</v>
      </c>
      <c r="H11" s="26">
        <v>31</v>
      </c>
      <c r="I11" s="119" t="s">
        <v>25</v>
      </c>
      <c r="J11" s="34"/>
      <c r="K11" s="34"/>
      <c r="L11" s="120">
        <v>49.7</v>
      </c>
      <c r="M11" s="118"/>
      <c r="N11" s="227"/>
      <c r="O11" s="232"/>
      <c r="P11" s="229"/>
    </row>
    <row r="12" spans="1:16" x14ac:dyDescent="0.25">
      <c r="A12" s="117"/>
      <c r="B12" s="187">
        <v>200</v>
      </c>
      <c r="C12" s="195">
        <v>2</v>
      </c>
      <c r="D12" s="34"/>
      <c r="F12" s="26">
        <v>30</v>
      </c>
      <c r="G12" s="26">
        <v>17</v>
      </c>
      <c r="H12" s="26">
        <v>31</v>
      </c>
      <c r="I12" s="121" t="s">
        <v>26</v>
      </c>
      <c r="J12" s="34"/>
      <c r="K12" s="34"/>
      <c r="L12" s="118">
        <f>ROUND(-0.000005006464124*L9^2-0.00000484550743*L9+1.00033065352292,5)</f>
        <v>0.99822999999999995</v>
      </c>
      <c r="M12" s="118"/>
      <c r="N12" s="227"/>
      <c r="P12" s="226"/>
    </row>
    <row r="13" spans="1:16" ht="13" thickBot="1" x14ac:dyDescent="0.3">
      <c r="A13" s="117"/>
      <c r="B13" s="188" t="s">
        <v>157</v>
      </c>
      <c r="C13" s="196">
        <v>92</v>
      </c>
      <c r="D13" s="34"/>
      <c r="F13" s="26">
        <v>60</v>
      </c>
      <c r="G13" s="26">
        <v>14</v>
      </c>
      <c r="H13" s="26">
        <v>31</v>
      </c>
      <c r="I13" s="122" t="s">
        <v>27</v>
      </c>
      <c r="J13" s="123"/>
      <c r="K13" s="123"/>
      <c r="L13" s="124">
        <f>MROUND((L12*L11)/(L11-L8+L10),0.01)</f>
        <v>6.05</v>
      </c>
      <c r="M13" s="118"/>
      <c r="P13" s="224"/>
    </row>
    <row r="14" spans="1:16" x14ac:dyDescent="0.25">
      <c r="A14" s="117"/>
      <c r="D14" s="34"/>
      <c r="F14" s="26">
        <v>120</v>
      </c>
      <c r="G14" s="26">
        <v>11.5</v>
      </c>
      <c r="H14" s="26">
        <v>31</v>
      </c>
      <c r="I14" s="34"/>
      <c r="J14" s="34"/>
      <c r="K14" s="34"/>
      <c r="L14" s="34"/>
      <c r="M14" s="118"/>
      <c r="P14" s="225"/>
    </row>
    <row r="15" spans="1:16" x14ac:dyDescent="0.25">
      <c r="A15" s="117"/>
      <c r="B15" s="237" t="s">
        <v>183</v>
      </c>
      <c r="C15" s="237" t="s">
        <v>182</v>
      </c>
      <c r="D15" s="237" t="s">
        <v>184</v>
      </c>
      <c r="E15" s="237" t="s">
        <v>185</v>
      </c>
      <c r="F15" s="235">
        <v>240</v>
      </c>
      <c r="G15" s="26">
        <v>10</v>
      </c>
      <c r="H15" s="26">
        <v>31</v>
      </c>
      <c r="I15" s="34"/>
      <c r="J15" s="34"/>
      <c r="K15" s="34"/>
      <c r="L15" s="34"/>
      <c r="M15" s="118"/>
      <c r="O15" s="234"/>
      <c r="P15" s="231"/>
    </row>
    <row r="16" spans="1:16" x14ac:dyDescent="0.25">
      <c r="A16" s="117"/>
      <c r="B16" s="238">
        <v>36892</v>
      </c>
      <c r="C16" s="239">
        <v>0.25138888888888888</v>
      </c>
      <c r="D16" s="240" t="str">
        <f>CONCATENATE(TEXT(B16,"mm/dd/yy"),TEXT(C16," hh:mm"), " PM")</f>
        <v>01/01/01 06:02 PM</v>
      </c>
      <c r="E16" s="243">
        <f>F16</f>
        <v>480</v>
      </c>
      <c r="F16" s="235">
        <v>480</v>
      </c>
      <c r="G16" s="26">
        <v>9.5</v>
      </c>
      <c r="H16" s="26">
        <v>31</v>
      </c>
      <c r="I16" s="34"/>
      <c r="J16" s="34"/>
      <c r="K16" s="34"/>
      <c r="L16" s="34"/>
      <c r="M16" s="118"/>
      <c r="P16" s="230"/>
    </row>
    <row r="17" spans="1:16" x14ac:dyDescent="0.25">
      <c r="A17" s="117"/>
      <c r="B17" s="238">
        <v>36893</v>
      </c>
      <c r="C17" s="239">
        <v>0.39305555555555555</v>
      </c>
      <c r="D17" s="240" t="str">
        <f>CONCATENATE(TEXT(B17,"mm/dd/yy"),TEXT(C17," hh:mm"), " AM")</f>
        <v>01/02/01 09:26 AM</v>
      </c>
      <c r="E17" s="241">
        <f>D17-D16</f>
        <v>0.64166666667006211</v>
      </c>
      <c r="F17" s="236">
        <v>1434</v>
      </c>
      <c r="G17" s="26">
        <v>7.5</v>
      </c>
      <c r="H17" s="26">
        <v>31</v>
      </c>
      <c r="I17" s="244"/>
      <c r="J17" s="242"/>
      <c r="K17" s="34"/>
      <c r="L17" s="34"/>
      <c r="M17" s="118"/>
      <c r="P17" s="225"/>
    </row>
    <row r="18" spans="1:16" x14ac:dyDescent="0.25">
      <c r="A18" s="117"/>
      <c r="B18" s="238">
        <v>36894</v>
      </c>
      <c r="C18" s="239">
        <v>0.39097222222222222</v>
      </c>
      <c r="D18" s="240" t="str">
        <f>CONCATENATE(TEXT(B18,"mm/dd/yy"),TEXT(C18," hh:mm"), " AM")</f>
        <v>01/03/01 09:23 AM</v>
      </c>
      <c r="E18" s="241">
        <f t="shared" ref="E18:E19" si="0">D18-D17</f>
        <v>0.99791666666715173</v>
      </c>
      <c r="F18" s="235">
        <v>2865</v>
      </c>
      <c r="G18" s="26">
        <v>6.5</v>
      </c>
      <c r="H18" s="26">
        <v>32</v>
      </c>
      <c r="I18" s="34"/>
      <c r="J18" s="242"/>
      <c r="K18" s="34"/>
      <c r="L18" s="34"/>
      <c r="M18" s="118"/>
      <c r="P18" s="228"/>
    </row>
    <row r="19" spans="1:16" x14ac:dyDescent="0.25">
      <c r="A19" s="117"/>
      <c r="B19" s="238">
        <v>36895</v>
      </c>
      <c r="C19" s="239">
        <v>0.38958333333333334</v>
      </c>
      <c r="D19" s="240" t="str">
        <f>CONCATENATE(TEXT(B19,"mm/dd/yy"),TEXT(C19," hh:mm"), " AM")</f>
        <v>01/04/01 09:21 AM</v>
      </c>
      <c r="E19" s="241">
        <f t="shared" si="0"/>
        <v>0.99861111110658385</v>
      </c>
      <c r="F19" s="235">
        <v>7634</v>
      </c>
      <c r="G19" s="26">
        <v>6</v>
      </c>
      <c r="H19" s="26">
        <v>32</v>
      </c>
      <c r="I19" s="34"/>
      <c r="J19" s="242"/>
      <c r="K19" s="34"/>
      <c r="L19" s="34"/>
      <c r="M19" s="118"/>
      <c r="P19" s="225"/>
    </row>
    <row r="20" spans="1:16" ht="13" thickBot="1" x14ac:dyDescent="0.3">
      <c r="A20" s="211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2"/>
    </row>
    <row r="22" spans="1:16" ht="14" x14ac:dyDescent="0.3">
      <c r="B22" s="197" t="s">
        <v>160</v>
      </c>
      <c r="E22" s="1"/>
      <c r="F22" s="1"/>
      <c r="G22" s="1"/>
      <c r="H22" s="1"/>
      <c r="J22" s="197" t="s">
        <v>169</v>
      </c>
      <c r="M22" s="205"/>
    </row>
    <row r="23" spans="1:16" x14ac:dyDescent="0.25">
      <c r="B23" s="71" t="s">
        <v>161</v>
      </c>
      <c r="C23" s="198"/>
      <c r="D23" s="199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8"/>
      <c r="M23" s="202">
        <v>1</v>
      </c>
      <c r="N23" s="202">
        <v>2</v>
      </c>
      <c r="O23" s="202">
        <v>3</v>
      </c>
    </row>
    <row r="24" spans="1:16" x14ac:dyDescent="0.25">
      <c r="B24" s="71" t="s">
        <v>162</v>
      </c>
      <c r="C24" s="37"/>
      <c r="D24" s="200">
        <v>15</v>
      </c>
      <c r="E24" s="201">
        <v>20</v>
      </c>
      <c r="F24" s="201">
        <v>25</v>
      </c>
      <c r="G24" s="201">
        <v>30</v>
      </c>
      <c r="H24" s="201">
        <v>35</v>
      </c>
      <c r="J24" s="202" t="s">
        <v>163</v>
      </c>
      <c r="K24" s="71"/>
      <c r="L24" s="198"/>
      <c r="M24" s="206">
        <v>9.32</v>
      </c>
      <c r="N24" s="206">
        <v>9.14</v>
      </c>
      <c r="O24" s="203">
        <v>10.210000000000001</v>
      </c>
    </row>
    <row r="25" spans="1:16" x14ac:dyDescent="0.25">
      <c r="B25" s="202" t="s">
        <v>163</v>
      </c>
      <c r="C25" s="202"/>
      <c r="D25" s="203">
        <v>10.88</v>
      </c>
      <c r="E25" s="203">
        <v>7.75</v>
      </c>
      <c r="F25" s="203">
        <v>9.0500000000000007</v>
      </c>
      <c r="G25" s="203">
        <v>6.87</v>
      </c>
      <c r="H25" s="203">
        <v>7.24</v>
      </c>
      <c r="J25" s="202" t="s">
        <v>170</v>
      </c>
      <c r="K25" s="207"/>
      <c r="L25" s="37"/>
      <c r="M25" s="206">
        <v>45.08</v>
      </c>
      <c r="N25" s="206">
        <v>47.36</v>
      </c>
      <c r="O25" s="203">
        <v>46.61</v>
      </c>
    </row>
    <row r="26" spans="1:16" x14ac:dyDescent="0.25">
      <c r="B26" s="202" t="s">
        <v>164</v>
      </c>
      <c r="C26" s="14"/>
      <c r="D26" s="203">
        <v>48.66</v>
      </c>
      <c r="E26" s="203">
        <v>47.51</v>
      </c>
      <c r="F26" s="203">
        <v>45.41</v>
      </c>
      <c r="G26" s="203">
        <v>50.23</v>
      </c>
      <c r="H26" s="203">
        <v>44.27</v>
      </c>
      <c r="J26" s="202" t="s">
        <v>171</v>
      </c>
      <c r="K26" s="71"/>
      <c r="L26" s="208"/>
      <c r="M26" s="206">
        <v>38.880000000000003</v>
      </c>
      <c r="N26" s="206">
        <v>40.770000000000003</v>
      </c>
      <c r="O26" s="203">
        <v>40.32</v>
      </c>
    </row>
    <row r="27" spans="1:16" x14ac:dyDescent="0.25">
      <c r="B27" s="202" t="s">
        <v>165</v>
      </c>
      <c r="C27" s="202"/>
      <c r="D27" s="203">
        <v>37.25</v>
      </c>
      <c r="E27" s="203">
        <v>35.75</v>
      </c>
      <c r="F27" s="203">
        <v>34.880000000000003</v>
      </c>
      <c r="G27" s="203">
        <v>37.94</v>
      </c>
      <c r="H27" s="203">
        <v>34.020000000000003</v>
      </c>
      <c r="J27" s="202" t="s">
        <v>172</v>
      </c>
      <c r="K27" s="71"/>
      <c r="L27" s="209"/>
      <c r="M27" s="202">
        <f>M25-M26</f>
        <v>6.1999999999999957</v>
      </c>
      <c r="N27" s="202">
        <f>N25-N26</f>
        <v>6.5899999999999963</v>
      </c>
      <c r="O27" s="202">
        <f>O25-O26</f>
        <v>6.2899999999999991</v>
      </c>
    </row>
    <row r="28" spans="1:16" ht="13.5" x14ac:dyDescent="0.35">
      <c r="B28" s="202" t="s">
        <v>166</v>
      </c>
      <c r="C28" s="202"/>
      <c r="D28" s="202">
        <f>D26-D27</f>
        <v>11.409999999999997</v>
      </c>
      <c r="E28" s="202">
        <f>E26-E27</f>
        <v>11.759999999999998</v>
      </c>
      <c r="F28" s="202">
        <f>F26-F27</f>
        <v>10.529999999999994</v>
      </c>
      <c r="G28" s="202">
        <f>G26-G27</f>
        <v>12.29</v>
      </c>
      <c r="H28" s="202">
        <f>H26-H27</f>
        <v>10.25</v>
      </c>
      <c r="J28" s="202" t="s">
        <v>173</v>
      </c>
      <c r="K28" s="71"/>
      <c r="L28" s="37"/>
      <c r="M28" s="202">
        <f>M26-M24</f>
        <v>29.560000000000002</v>
      </c>
      <c r="N28" s="202">
        <f>N26-N24</f>
        <v>31.630000000000003</v>
      </c>
      <c r="O28" s="202">
        <f>O26-O24</f>
        <v>30.11</v>
      </c>
    </row>
    <row r="29" spans="1:16" ht="13.5" x14ac:dyDescent="0.35">
      <c r="B29" s="202" t="s">
        <v>167</v>
      </c>
      <c r="C29" s="202"/>
      <c r="D29" s="202">
        <f>D27-D25</f>
        <v>26.369999999999997</v>
      </c>
      <c r="E29" s="202">
        <f>E27-E25</f>
        <v>28</v>
      </c>
      <c r="F29" s="202">
        <f>F27-F25</f>
        <v>25.830000000000002</v>
      </c>
      <c r="G29" s="202">
        <f>G27-G25</f>
        <v>31.069999999999997</v>
      </c>
      <c r="H29" s="202">
        <f>H27-H25</f>
        <v>26.78</v>
      </c>
      <c r="J29" s="202" t="s">
        <v>168</v>
      </c>
      <c r="K29" s="71"/>
      <c r="L29" s="37"/>
      <c r="M29" s="204">
        <f>M27/M28*100</f>
        <v>20.974289580514192</v>
      </c>
      <c r="N29" s="204">
        <f>N27/N28*100</f>
        <v>20.83465064811886</v>
      </c>
      <c r="O29" s="204">
        <f>O27/O28*100</f>
        <v>20.890069744271003</v>
      </c>
    </row>
    <row r="30" spans="1:16" x14ac:dyDescent="0.25">
      <c r="B30" s="202" t="s">
        <v>168</v>
      </c>
      <c r="C30" s="202"/>
      <c r="D30" s="204">
        <f>D28/D29*100</f>
        <v>43.268866135760327</v>
      </c>
      <c r="E30" s="204">
        <f>E28/E29*100</f>
        <v>41.999999999999993</v>
      </c>
      <c r="F30" s="204">
        <f>F28/F29*100</f>
        <v>40.76655052264806</v>
      </c>
      <c r="G30" s="204">
        <f>G28/G29*100</f>
        <v>39.55584164789186</v>
      </c>
      <c r="H30" s="204">
        <f>H28/H29*100</f>
        <v>38.274831964152348</v>
      </c>
    </row>
    <row r="34" spans="10:16" x14ac:dyDescent="0.25">
      <c r="J34" s="248" t="s">
        <v>177</v>
      </c>
      <c r="K34" s="248"/>
      <c r="L34" s="248"/>
      <c r="M34" s="248"/>
      <c r="N34" s="248"/>
      <c r="O34" s="248"/>
      <c r="P34" s="248"/>
    </row>
    <row r="35" spans="10:16" x14ac:dyDescent="0.25">
      <c r="J35" s="213" t="s">
        <v>174</v>
      </c>
      <c r="K35" s="214" t="s">
        <v>118</v>
      </c>
      <c r="L35" s="214" t="s">
        <v>119</v>
      </c>
      <c r="M35" s="214" t="s">
        <v>175</v>
      </c>
      <c r="N35" s="214" t="s">
        <v>176</v>
      </c>
      <c r="O35" s="214" t="s">
        <v>124</v>
      </c>
      <c r="P35" s="214" t="s">
        <v>123</v>
      </c>
    </row>
    <row r="36" spans="10:16" ht="21.5" customHeight="1" x14ac:dyDescent="0.25">
      <c r="J36" s="215">
        <f>Report!C39</f>
        <v>6.02</v>
      </c>
      <c r="K36" s="215">
        <f>Report!C40</f>
        <v>64.19</v>
      </c>
      <c r="L36" s="215">
        <f>Report!C41</f>
        <v>26.81</v>
      </c>
      <c r="M36" s="216">
        <f>[1]Report!$D$36</f>
        <v>41</v>
      </c>
      <c r="N36" s="216">
        <f>[1]Report!$I$45</f>
        <v>21</v>
      </c>
      <c r="O36" s="215" t="str">
        <f>Report!H41</f>
        <v>---</v>
      </c>
      <c r="P36" s="215" t="str">
        <f>Report!H40</f>
        <v>---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I351"/>
  <sheetViews>
    <sheetView workbookViewId="0">
      <selection activeCell="M4" sqref="M4"/>
    </sheetView>
  </sheetViews>
  <sheetFormatPr defaultRowHeight="12.5" x14ac:dyDescent="0.25"/>
  <cols>
    <col min="1" max="1" width="12.90625" customWidth="1"/>
    <col min="2" max="2" width="17.7265625" customWidth="1"/>
  </cols>
  <sheetData>
    <row r="1" spans="1:9" x14ac:dyDescent="0.25">
      <c r="A1" s="221" t="s">
        <v>178</v>
      </c>
      <c r="B1" s="221" t="s">
        <v>179</v>
      </c>
      <c r="C1" s="222" t="s">
        <v>174</v>
      </c>
      <c r="D1" s="223" t="s">
        <v>118</v>
      </c>
      <c r="E1" s="223" t="s">
        <v>119</v>
      </c>
      <c r="F1" s="223" t="s">
        <v>175</v>
      </c>
      <c r="G1" s="223" t="s">
        <v>176</v>
      </c>
      <c r="H1" s="223" t="s">
        <v>124</v>
      </c>
      <c r="I1" s="223" t="s">
        <v>123</v>
      </c>
    </row>
    <row r="2" spans="1:9" x14ac:dyDescent="0.25">
      <c r="A2" s="217"/>
      <c r="B2" s="217"/>
      <c r="C2" s="215"/>
      <c r="D2" s="215"/>
      <c r="E2" s="215"/>
      <c r="F2" s="216"/>
      <c r="G2" s="216"/>
      <c r="H2" s="215"/>
      <c r="I2" s="215"/>
    </row>
    <row r="3" spans="1:9" x14ac:dyDescent="0.25">
      <c r="A3" s="217"/>
      <c r="B3" s="217"/>
      <c r="C3" s="217"/>
      <c r="D3" s="217"/>
      <c r="E3" s="217"/>
      <c r="F3" s="217"/>
      <c r="G3" s="217"/>
      <c r="H3" s="217"/>
      <c r="I3" s="217"/>
    </row>
    <row r="4" spans="1:9" x14ac:dyDescent="0.25">
      <c r="A4" s="217"/>
      <c r="B4" s="217"/>
      <c r="C4" s="217"/>
      <c r="D4" s="217"/>
      <c r="E4" s="217"/>
      <c r="F4" s="217"/>
      <c r="G4" s="217"/>
      <c r="H4" s="217"/>
      <c r="I4" s="217"/>
    </row>
    <row r="5" spans="1:9" x14ac:dyDescent="0.25">
      <c r="A5" s="217"/>
      <c r="B5" s="217"/>
      <c r="C5" s="217"/>
      <c r="D5" s="217"/>
      <c r="E5" s="217"/>
      <c r="F5" s="217"/>
      <c r="G5" s="217"/>
      <c r="H5" s="217"/>
      <c r="I5" s="217"/>
    </row>
    <row r="6" spans="1:9" x14ac:dyDescent="0.25">
      <c r="A6" s="217"/>
      <c r="B6" s="217"/>
      <c r="C6" s="217"/>
      <c r="D6" s="217"/>
      <c r="E6" s="217"/>
      <c r="F6" s="217"/>
      <c r="G6" s="217"/>
      <c r="H6" s="217"/>
      <c r="I6" s="217"/>
    </row>
    <row r="7" spans="1:9" x14ac:dyDescent="0.25">
      <c r="A7" s="217"/>
      <c r="B7" s="217"/>
      <c r="C7" s="217"/>
      <c r="D7" s="217"/>
      <c r="E7" s="217"/>
      <c r="F7" s="217"/>
      <c r="G7" s="217"/>
      <c r="H7" s="217"/>
      <c r="I7" s="217"/>
    </row>
    <row r="8" spans="1:9" x14ac:dyDescent="0.25">
      <c r="A8" s="217"/>
      <c r="B8" s="217"/>
      <c r="C8" s="217"/>
      <c r="D8" s="217"/>
      <c r="E8" s="217"/>
      <c r="F8" s="217"/>
      <c r="G8" s="217"/>
      <c r="H8" s="217"/>
      <c r="I8" s="217"/>
    </row>
    <row r="9" spans="1:9" x14ac:dyDescent="0.25">
      <c r="A9" s="217"/>
      <c r="B9" s="217"/>
      <c r="C9" s="217"/>
      <c r="D9" s="217"/>
      <c r="E9" s="217"/>
      <c r="F9" s="217"/>
      <c r="G9" s="217"/>
      <c r="H9" s="217"/>
      <c r="I9" s="217"/>
    </row>
    <row r="10" spans="1:9" x14ac:dyDescent="0.25">
      <c r="A10" s="217"/>
      <c r="B10" s="217"/>
      <c r="C10" s="217"/>
      <c r="D10" s="217"/>
      <c r="E10" s="217"/>
      <c r="F10" s="217"/>
      <c r="G10" s="217"/>
      <c r="H10" s="217"/>
      <c r="I10" s="217"/>
    </row>
    <row r="11" spans="1:9" x14ac:dyDescent="0.25">
      <c r="A11" s="217"/>
      <c r="B11" s="217"/>
      <c r="C11" s="217"/>
      <c r="D11" s="217"/>
      <c r="E11" s="217"/>
      <c r="F11" s="217"/>
      <c r="G11" s="217"/>
      <c r="H11" s="217"/>
      <c r="I11" s="217"/>
    </row>
    <row r="12" spans="1:9" x14ac:dyDescent="0.25">
      <c r="A12" s="217"/>
      <c r="B12" s="217"/>
      <c r="C12" s="217"/>
      <c r="D12" s="217"/>
      <c r="E12" s="217"/>
      <c r="F12" s="217"/>
      <c r="G12" s="217"/>
      <c r="H12" s="217"/>
      <c r="I12" s="217"/>
    </row>
    <row r="13" spans="1:9" x14ac:dyDescent="0.25">
      <c r="A13" s="217"/>
      <c r="B13" s="217"/>
      <c r="C13" s="217"/>
      <c r="D13" s="217"/>
      <c r="E13" s="217"/>
      <c r="F13" s="217"/>
      <c r="G13" s="217"/>
      <c r="H13" s="217"/>
      <c r="I13" s="217"/>
    </row>
    <row r="14" spans="1:9" x14ac:dyDescent="0.25">
      <c r="A14" s="217"/>
      <c r="B14" s="217"/>
      <c r="C14" s="217"/>
      <c r="D14" s="217"/>
      <c r="E14" s="217"/>
      <c r="F14" s="217"/>
      <c r="G14" s="217"/>
      <c r="H14" s="217"/>
      <c r="I14" s="217"/>
    </row>
    <row r="15" spans="1:9" x14ac:dyDescent="0.25">
      <c r="A15" s="217"/>
      <c r="B15" s="217"/>
      <c r="C15" s="217"/>
      <c r="D15" s="217"/>
      <c r="E15" s="217"/>
      <c r="F15" s="217"/>
      <c r="G15" s="217"/>
      <c r="H15" s="217"/>
      <c r="I15" s="217"/>
    </row>
    <row r="16" spans="1:9" x14ac:dyDescent="0.25">
      <c r="A16" s="217"/>
      <c r="B16" s="217"/>
      <c r="C16" s="217"/>
      <c r="D16" s="217"/>
      <c r="E16" s="217"/>
      <c r="F16" s="217"/>
      <c r="G16" s="217"/>
      <c r="H16" s="217"/>
      <c r="I16" s="217"/>
    </row>
    <row r="17" spans="1:9" x14ac:dyDescent="0.25">
      <c r="A17" s="217"/>
      <c r="B17" s="217"/>
      <c r="C17" s="217"/>
      <c r="D17" s="217"/>
      <c r="E17" s="217"/>
      <c r="F17" s="217"/>
      <c r="G17" s="217"/>
      <c r="H17" s="217"/>
      <c r="I17" s="217"/>
    </row>
    <row r="18" spans="1:9" x14ac:dyDescent="0.25">
      <c r="A18" s="217"/>
      <c r="B18" s="217"/>
      <c r="C18" s="217"/>
      <c r="D18" s="217"/>
      <c r="E18" s="217"/>
      <c r="F18" s="217"/>
      <c r="G18" s="217"/>
      <c r="H18" s="217"/>
      <c r="I18" s="217"/>
    </row>
    <row r="19" spans="1:9" x14ac:dyDescent="0.25">
      <c r="A19" s="217"/>
      <c r="B19" s="217"/>
      <c r="C19" s="217"/>
      <c r="D19" s="217"/>
      <c r="E19" s="217"/>
      <c r="F19" s="217"/>
      <c r="G19" s="217"/>
      <c r="H19" s="217"/>
      <c r="I19" s="217"/>
    </row>
    <row r="20" spans="1:9" x14ac:dyDescent="0.25">
      <c r="A20" s="217"/>
      <c r="B20" s="217"/>
      <c r="C20" s="217"/>
      <c r="D20" s="217"/>
      <c r="E20" s="217"/>
      <c r="F20" s="217"/>
      <c r="G20" s="217"/>
      <c r="H20" s="217"/>
      <c r="I20" s="217"/>
    </row>
    <row r="21" spans="1:9" x14ac:dyDescent="0.25">
      <c r="A21" s="217"/>
      <c r="B21" s="217"/>
      <c r="C21" s="217"/>
      <c r="D21" s="217"/>
      <c r="E21" s="217"/>
      <c r="F21" s="217"/>
      <c r="G21" s="217"/>
      <c r="H21" s="217"/>
      <c r="I21" s="217"/>
    </row>
    <row r="22" spans="1:9" x14ac:dyDescent="0.25">
      <c r="A22" s="217"/>
      <c r="B22" s="217"/>
      <c r="C22" s="217"/>
      <c r="D22" s="217"/>
      <c r="E22" s="217"/>
      <c r="F22" s="217"/>
      <c r="G22" s="217"/>
      <c r="H22" s="217"/>
      <c r="I22" s="217"/>
    </row>
    <row r="23" spans="1:9" x14ac:dyDescent="0.25">
      <c r="A23" s="217"/>
      <c r="B23" s="217"/>
      <c r="C23" s="217"/>
      <c r="D23" s="217"/>
      <c r="E23" s="217"/>
      <c r="F23" s="217"/>
      <c r="G23" s="217"/>
      <c r="H23" s="217"/>
      <c r="I23" s="217"/>
    </row>
    <row r="24" spans="1:9" x14ac:dyDescent="0.25">
      <c r="A24" s="217"/>
      <c r="B24" s="217"/>
      <c r="C24" s="217"/>
      <c r="D24" s="217"/>
      <c r="E24" s="217"/>
      <c r="F24" s="217"/>
      <c r="G24" s="217"/>
      <c r="H24" s="217"/>
      <c r="I24" s="217"/>
    </row>
    <row r="25" spans="1:9" x14ac:dyDescent="0.25">
      <c r="A25" s="217"/>
      <c r="B25" s="217"/>
      <c r="C25" s="217"/>
      <c r="D25" s="217"/>
      <c r="E25" s="217"/>
      <c r="F25" s="217"/>
      <c r="G25" s="217"/>
      <c r="H25" s="217"/>
      <c r="I25" s="217"/>
    </row>
    <row r="26" spans="1:9" x14ac:dyDescent="0.25">
      <c r="A26" s="217"/>
      <c r="B26" s="217"/>
      <c r="C26" s="217"/>
      <c r="D26" s="217"/>
      <c r="E26" s="217"/>
      <c r="F26" s="217"/>
      <c r="G26" s="217"/>
      <c r="H26" s="217"/>
      <c r="I26" s="217"/>
    </row>
    <row r="27" spans="1:9" x14ac:dyDescent="0.25">
      <c r="A27" s="217"/>
      <c r="B27" s="217"/>
      <c r="C27" s="217"/>
      <c r="D27" s="217"/>
      <c r="E27" s="217"/>
      <c r="F27" s="217"/>
      <c r="G27" s="217"/>
      <c r="H27" s="217"/>
      <c r="I27" s="217"/>
    </row>
    <row r="28" spans="1:9" x14ac:dyDescent="0.25">
      <c r="A28" s="217"/>
      <c r="B28" s="217"/>
      <c r="C28" s="217"/>
      <c r="D28" s="217"/>
      <c r="E28" s="217"/>
      <c r="F28" s="217"/>
      <c r="G28" s="217"/>
      <c r="H28" s="217"/>
      <c r="I28" s="217"/>
    </row>
    <row r="29" spans="1:9" x14ac:dyDescent="0.25">
      <c r="A29" s="217"/>
      <c r="B29" s="217"/>
      <c r="C29" s="217"/>
      <c r="D29" s="217"/>
      <c r="E29" s="217"/>
      <c r="F29" s="217"/>
      <c r="G29" s="217"/>
      <c r="H29" s="217"/>
      <c r="I29" s="217"/>
    </row>
    <row r="30" spans="1:9" x14ac:dyDescent="0.25">
      <c r="A30" s="217"/>
      <c r="B30" s="217"/>
      <c r="C30" s="217"/>
      <c r="D30" s="217"/>
      <c r="E30" s="217"/>
      <c r="F30" s="217"/>
      <c r="G30" s="217"/>
      <c r="H30" s="217"/>
      <c r="I30" s="217"/>
    </row>
    <row r="31" spans="1:9" x14ac:dyDescent="0.25">
      <c r="A31" s="217"/>
      <c r="B31" s="217"/>
      <c r="C31" s="217"/>
      <c r="D31" s="217"/>
      <c r="E31" s="217"/>
      <c r="F31" s="217"/>
      <c r="G31" s="217"/>
      <c r="H31" s="217"/>
      <c r="I31" s="217"/>
    </row>
    <row r="32" spans="1:9" x14ac:dyDescent="0.25">
      <c r="A32" s="217"/>
      <c r="B32" s="217"/>
      <c r="C32" s="217"/>
      <c r="D32" s="217"/>
      <c r="E32" s="217"/>
      <c r="F32" s="217"/>
      <c r="G32" s="217"/>
      <c r="H32" s="217"/>
      <c r="I32" s="217"/>
    </row>
    <row r="33" spans="1:9" x14ac:dyDescent="0.25">
      <c r="A33" s="217"/>
      <c r="B33" s="217"/>
      <c r="C33" s="217"/>
      <c r="D33" s="217"/>
      <c r="E33" s="217"/>
      <c r="F33" s="217"/>
      <c r="G33" s="217"/>
      <c r="H33" s="217"/>
      <c r="I33" s="217"/>
    </row>
    <row r="34" spans="1:9" x14ac:dyDescent="0.25">
      <c r="A34" s="217"/>
      <c r="B34" s="217"/>
      <c r="C34" s="217"/>
      <c r="D34" s="217"/>
      <c r="E34" s="217"/>
      <c r="F34" s="217"/>
      <c r="G34" s="217"/>
      <c r="H34" s="217"/>
      <c r="I34" s="217"/>
    </row>
    <row r="35" spans="1:9" x14ac:dyDescent="0.25">
      <c r="A35" s="217"/>
      <c r="B35" s="217"/>
      <c r="C35" s="217"/>
      <c r="D35" s="217"/>
      <c r="E35" s="217"/>
      <c r="F35" s="217"/>
      <c r="G35" s="217"/>
      <c r="H35" s="217"/>
      <c r="I35" s="217"/>
    </row>
    <row r="36" spans="1:9" x14ac:dyDescent="0.25">
      <c r="A36" s="217"/>
      <c r="B36" s="217"/>
      <c r="C36" s="217"/>
      <c r="D36" s="217"/>
      <c r="E36" s="217"/>
      <c r="F36" s="217"/>
      <c r="G36" s="217"/>
      <c r="H36" s="217"/>
      <c r="I36" s="217"/>
    </row>
    <row r="37" spans="1:9" x14ac:dyDescent="0.25">
      <c r="A37" s="217"/>
      <c r="B37" s="217"/>
      <c r="C37" s="217"/>
      <c r="D37" s="217"/>
      <c r="E37" s="217"/>
      <c r="F37" s="217"/>
      <c r="G37" s="217"/>
      <c r="H37" s="217"/>
      <c r="I37" s="217"/>
    </row>
    <row r="38" spans="1:9" x14ac:dyDescent="0.25">
      <c r="A38" s="217"/>
      <c r="B38" s="217"/>
      <c r="C38" s="217"/>
      <c r="D38" s="217"/>
      <c r="E38" s="217"/>
      <c r="F38" s="217"/>
      <c r="G38" s="217"/>
      <c r="H38" s="217"/>
      <c r="I38" s="217"/>
    </row>
    <row r="39" spans="1:9" x14ac:dyDescent="0.25">
      <c r="A39" s="217"/>
      <c r="B39" s="217"/>
      <c r="C39" s="217"/>
      <c r="D39" s="217"/>
      <c r="E39" s="217"/>
      <c r="F39" s="217"/>
      <c r="G39" s="217"/>
      <c r="H39" s="217"/>
      <c r="I39" s="217"/>
    </row>
    <row r="40" spans="1:9" x14ac:dyDescent="0.25">
      <c r="A40" s="217"/>
      <c r="B40" s="217"/>
      <c r="C40" s="217"/>
      <c r="D40" s="217"/>
      <c r="E40" s="217"/>
      <c r="F40" s="217"/>
      <c r="G40" s="217"/>
      <c r="H40" s="217"/>
      <c r="I40" s="217"/>
    </row>
    <row r="41" spans="1:9" x14ac:dyDescent="0.25">
      <c r="A41" s="217"/>
      <c r="B41" s="217"/>
      <c r="C41" s="217"/>
      <c r="D41" s="217"/>
      <c r="E41" s="217"/>
      <c r="F41" s="217"/>
      <c r="G41" s="217"/>
      <c r="H41" s="217"/>
      <c r="I41" s="217"/>
    </row>
    <row r="42" spans="1:9" x14ac:dyDescent="0.25">
      <c r="A42" s="217"/>
      <c r="B42" s="217"/>
      <c r="C42" s="217"/>
      <c r="D42" s="217"/>
      <c r="E42" s="217"/>
      <c r="F42" s="217"/>
      <c r="G42" s="217"/>
      <c r="H42" s="217"/>
      <c r="I42" s="217"/>
    </row>
    <row r="43" spans="1:9" x14ac:dyDescent="0.25">
      <c r="A43" s="217"/>
      <c r="B43" s="217"/>
      <c r="C43" s="217"/>
      <c r="D43" s="217"/>
      <c r="E43" s="217"/>
      <c r="F43" s="217"/>
      <c r="G43" s="217"/>
      <c r="H43" s="217"/>
      <c r="I43" s="217"/>
    </row>
    <row r="44" spans="1:9" x14ac:dyDescent="0.25">
      <c r="A44" s="217"/>
      <c r="B44" s="217"/>
      <c r="C44" s="217"/>
      <c r="D44" s="217"/>
      <c r="E44" s="217"/>
      <c r="F44" s="217"/>
      <c r="G44" s="217"/>
      <c r="H44" s="217"/>
      <c r="I44" s="217"/>
    </row>
    <row r="45" spans="1:9" x14ac:dyDescent="0.25">
      <c r="A45" s="217"/>
      <c r="B45" s="217"/>
      <c r="C45" s="217"/>
      <c r="D45" s="217"/>
      <c r="E45" s="217"/>
      <c r="F45" s="217"/>
      <c r="G45" s="217"/>
      <c r="H45" s="217"/>
      <c r="I45" s="217"/>
    </row>
    <row r="46" spans="1:9" x14ac:dyDescent="0.25">
      <c r="A46" s="217"/>
      <c r="B46" s="217"/>
      <c r="C46" s="217"/>
      <c r="D46" s="217"/>
      <c r="E46" s="217"/>
      <c r="F46" s="217"/>
      <c r="G46" s="217"/>
      <c r="H46" s="217"/>
      <c r="I46" s="217"/>
    </row>
    <row r="47" spans="1:9" x14ac:dyDescent="0.25">
      <c r="A47" s="217"/>
      <c r="B47" s="217"/>
      <c r="C47" s="217"/>
      <c r="D47" s="217"/>
      <c r="E47" s="217"/>
      <c r="F47" s="217"/>
      <c r="G47" s="217"/>
      <c r="H47" s="217"/>
      <c r="I47" s="217"/>
    </row>
    <row r="48" spans="1:9" x14ac:dyDescent="0.25">
      <c r="A48" s="217"/>
      <c r="B48" s="217"/>
      <c r="C48" s="217"/>
      <c r="D48" s="217"/>
      <c r="E48" s="217"/>
      <c r="F48" s="217"/>
      <c r="G48" s="217"/>
      <c r="H48" s="217"/>
      <c r="I48" s="217"/>
    </row>
    <row r="49" spans="1:9" x14ac:dyDescent="0.25">
      <c r="A49" s="217"/>
      <c r="B49" s="217"/>
      <c r="C49" s="217"/>
      <c r="D49" s="217"/>
      <c r="E49" s="217"/>
      <c r="F49" s="217"/>
      <c r="G49" s="217"/>
      <c r="H49" s="217"/>
      <c r="I49" s="217"/>
    </row>
    <row r="50" spans="1:9" x14ac:dyDescent="0.25">
      <c r="A50" s="217"/>
      <c r="B50" s="217"/>
      <c r="C50" s="217"/>
      <c r="D50" s="217"/>
      <c r="E50" s="217"/>
      <c r="F50" s="217"/>
      <c r="G50" s="217"/>
      <c r="H50" s="217"/>
      <c r="I50" s="217"/>
    </row>
    <row r="51" spans="1:9" x14ac:dyDescent="0.25">
      <c r="A51" s="217"/>
      <c r="B51" s="217"/>
      <c r="C51" s="217"/>
      <c r="D51" s="217"/>
      <c r="E51" s="217"/>
      <c r="F51" s="217"/>
      <c r="G51" s="217"/>
      <c r="H51" s="217"/>
      <c r="I51" s="217"/>
    </row>
    <row r="52" spans="1:9" x14ac:dyDescent="0.25">
      <c r="A52" s="217"/>
      <c r="B52" s="217"/>
      <c r="C52" s="217"/>
      <c r="D52" s="217"/>
      <c r="E52" s="217"/>
      <c r="F52" s="217"/>
      <c r="G52" s="217"/>
      <c r="H52" s="217"/>
      <c r="I52" s="217"/>
    </row>
    <row r="53" spans="1:9" x14ac:dyDescent="0.25">
      <c r="A53" s="217"/>
      <c r="B53" s="217"/>
      <c r="C53" s="217"/>
      <c r="D53" s="217"/>
      <c r="E53" s="217"/>
      <c r="F53" s="217"/>
      <c r="G53" s="217"/>
      <c r="H53" s="217"/>
      <c r="I53" s="217"/>
    </row>
    <row r="54" spans="1:9" x14ac:dyDescent="0.25">
      <c r="A54" s="217"/>
      <c r="B54" s="217"/>
      <c r="C54" s="217"/>
      <c r="D54" s="217"/>
      <c r="E54" s="217"/>
      <c r="F54" s="217"/>
      <c r="G54" s="217"/>
      <c r="H54" s="217"/>
      <c r="I54" s="217"/>
    </row>
    <row r="55" spans="1:9" x14ac:dyDescent="0.25">
      <c r="A55" s="217"/>
      <c r="B55" s="217"/>
      <c r="C55" s="217"/>
      <c r="D55" s="217"/>
      <c r="E55" s="217"/>
      <c r="F55" s="217"/>
      <c r="G55" s="217"/>
      <c r="H55" s="217"/>
      <c r="I55" s="217"/>
    </row>
    <row r="56" spans="1:9" x14ac:dyDescent="0.25">
      <c r="A56" s="217"/>
      <c r="B56" s="217"/>
      <c r="C56" s="217"/>
      <c r="D56" s="217"/>
      <c r="E56" s="217"/>
      <c r="F56" s="217"/>
      <c r="G56" s="217"/>
      <c r="H56" s="217"/>
      <c r="I56" s="217"/>
    </row>
    <row r="57" spans="1:9" x14ac:dyDescent="0.25">
      <c r="A57" s="217"/>
      <c r="B57" s="217"/>
      <c r="C57" s="217"/>
      <c r="D57" s="217"/>
      <c r="E57" s="217"/>
      <c r="F57" s="217"/>
      <c r="G57" s="217"/>
      <c r="H57" s="217"/>
      <c r="I57" s="217"/>
    </row>
    <row r="58" spans="1:9" x14ac:dyDescent="0.25">
      <c r="A58" s="217"/>
      <c r="B58" s="217"/>
      <c r="C58" s="217"/>
      <c r="D58" s="217"/>
      <c r="E58" s="217"/>
      <c r="F58" s="217"/>
      <c r="G58" s="217"/>
      <c r="H58" s="217"/>
      <c r="I58" s="217"/>
    </row>
    <row r="59" spans="1:9" x14ac:dyDescent="0.25">
      <c r="A59" s="217"/>
      <c r="B59" s="217"/>
      <c r="C59" s="217"/>
      <c r="D59" s="217"/>
      <c r="E59" s="217"/>
      <c r="F59" s="217"/>
      <c r="G59" s="217"/>
      <c r="H59" s="217"/>
      <c r="I59" s="217"/>
    </row>
    <row r="60" spans="1:9" x14ac:dyDescent="0.25">
      <c r="A60" s="217"/>
      <c r="B60" s="217"/>
      <c r="C60" s="217"/>
      <c r="D60" s="217"/>
      <c r="E60" s="217"/>
      <c r="F60" s="217"/>
      <c r="G60" s="217"/>
      <c r="H60" s="217"/>
      <c r="I60" s="217"/>
    </row>
    <row r="61" spans="1:9" x14ac:dyDescent="0.25">
      <c r="A61" s="217"/>
      <c r="B61" s="217"/>
      <c r="C61" s="217"/>
      <c r="D61" s="217"/>
      <c r="E61" s="217"/>
      <c r="F61" s="217"/>
      <c r="G61" s="217"/>
      <c r="H61" s="217"/>
      <c r="I61" s="217"/>
    </row>
    <row r="62" spans="1:9" x14ac:dyDescent="0.25">
      <c r="A62" s="217"/>
      <c r="B62" s="217"/>
      <c r="C62" s="217"/>
      <c r="D62" s="217"/>
      <c r="E62" s="217"/>
      <c r="F62" s="217"/>
      <c r="G62" s="217"/>
      <c r="H62" s="217"/>
      <c r="I62" s="217"/>
    </row>
    <row r="63" spans="1:9" x14ac:dyDescent="0.25">
      <c r="A63" s="217"/>
      <c r="B63" s="217"/>
      <c r="C63" s="217"/>
      <c r="D63" s="217"/>
      <c r="E63" s="217"/>
      <c r="F63" s="217"/>
      <c r="G63" s="217"/>
      <c r="H63" s="217"/>
      <c r="I63" s="217"/>
    </row>
    <row r="64" spans="1:9" x14ac:dyDescent="0.25">
      <c r="A64" s="217"/>
      <c r="B64" s="217"/>
      <c r="C64" s="217"/>
      <c r="D64" s="217"/>
      <c r="E64" s="217"/>
      <c r="F64" s="217"/>
      <c r="G64" s="217"/>
      <c r="H64" s="217"/>
      <c r="I64" s="217"/>
    </row>
    <row r="65" spans="1:9" x14ac:dyDescent="0.25">
      <c r="A65" s="217"/>
      <c r="B65" s="217"/>
      <c r="C65" s="217"/>
      <c r="D65" s="217"/>
      <c r="E65" s="217"/>
      <c r="F65" s="217"/>
      <c r="G65" s="217"/>
      <c r="H65" s="217"/>
      <c r="I65" s="217"/>
    </row>
    <row r="66" spans="1:9" x14ac:dyDescent="0.25">
      <c r="A66" s="217"/>
      <c r="B66" s="217"/>
      <c r="C66" s="217"/>
      <c r="D66" s="217"/>
      <c r="E66" s="217"/>
      <c r="F66" s="217"/>
      <c r="G66" s="217"/>
      <c r="H66" s="217"/>
      <c r="I66" s="217"/>
    </row>
    <row r="67" spans="1:9" x14ac:dyDescent="0.25">
      <c r="A67" s="217"/>
      <c r="B67" s="217"/>
      <c r="C67" s="217"/>
      <c r="D67" s="217"/>
      <c r="E67" s="217"/>
      <c r="F67" s="217"/>
      <c r="G67" s="217"/>
      <c r="H67" s="217"/>
      <c r="I67" s="217"/>
    </row>
    <row r="68" spans="1:9" x14ac:dyDescent="0.25">
      <c r="A68" s="217"/>
      <c r="B68" s="217"/>
      <c r="C68" s="217"/>
      <c r="D68" s="217"/>
      <c r="E68" s="217"/>
      <c r="F68" s="217"/>
      <c r="G68" s="217"/>
      <c r="H68" s="217"/>
      <c r="I68" s="217"/>
    </row>
    <row r="69" spans="1:9" x14ac:dyDescent="0.25">
      <c r="A69" s="217"/>
      <c r="B69" s="217"/>
      <c r="C69" s="217"/>
      <c r="D69" s="217"/>
      <c r="E69" s="217"/>
      <c r="F69" s="217"/>
      <c r="G69" s="217"/>
      <c r="H69" s="217"/>
      <c r="I69" s="217"/>
    </row>
    <row r="70" spans="1:9" x14ac:dyDescent="0.25">
      <c r="A70" s="217"/>
      <c r="B70" s="217"/>
      <c r="C70" s="217"/>
      <c r="D70" s="217"/>
      <c r="E70" s="217"/>
      <c r="F70" s="217"/>
      <c r="G70" s="217"/>
      <c r="H70" s="217"/>
      <c r="I70" s="217"/>
    </row>
    <row r="71" spans="1:9" x14ac:dyDescent="0.25">
      <c r="A71" s="217"/>
      <c r="B71" s="217"/>
      <c r="C71" s="217"/>
      <c r="D71" s="217"/>
      <c r="E71" s="217"/>
      <c r="F71" s="217"/>
      <c r="G71" s="217"/>
      <c r="H71" s="217"/>
      <c r="I71" s="217"/>
    </row>
    <row r="72" spans="1:9" x14ac:dyDescent="0.25">
      <c r="A72" s="217"/>
      <c r="B72" s="217"/>
      <c r="C72" s="217"/>
      <c r="D72" s="217"/>
      <c r="E72" s="217"/>
      <c r="F72" s="217"/>
      <c r="G72" s="217"/>
      <c r="H72" s="217"/>
      <c r="I72" s="217"/>
    </row>
    <row r="73" spans="1:9" x14ac:dyDescent="0.25">
      <c r="A73" s="217"/>
      <c r="B73" s="217"/>
      <c r="C73" s="217"/>
      <c r="D73" s="217"/>
      <c r="E73" s="217"/>
      <c r="F73" s="217"/>
      <c r="G73" s="217"/>
      <c r="H73" s="217"/>
      <c r="I73" s="217"/>
    </row>
    <row r="74" spans="1:9" x14ac:dyDescent="0.25">
      <c r="A74" s="217"/>
      <c r="B74" s="217"/>
      <c r="C74" s="217"/>
      <c r="D74" s="217"/>
      <c r="E74" s="217"/>
      <c r="F74" s="217"/>
      <c r="G74" s="217"/>
      <c r="H74" s="217"/>
      <c r="I74" s="217"/>
    </row>
    <row r="75" spans="1:9" x14ac:dyDescent="0.25">
      <c r="A75" s="217"/>
      <c r="B75" s="217"/>
      <c r="C75" s="217"/>
      <c r="D75" s="217"/>
      <c r="E75" s="217"/>
      <c r="F75" s="217"/>
      <c r="G75" s="217"/>
      <c r="H75" s="217"/>
      <c r="I75" s="217"/>
    </row>
    <row r="76" spans="1:9" x14ac:dyDescent="0.25">
      <c r="A76" s="217"/>
      <c r="B76" s="217"/>
      <c r="C76" s="217"/>
      <c r="D76" s="217"/>
      <c r="E76" s="217"/>
      <c r="F76" s="217"/>
      <c r="G76" s="217"/>
      <c r="H76" s="217"/>
      <c r="I76" s="217"/>
    </row>
    <row r="77" spans="1:9" x14ac:dyDescent="0.25">
      <c r="A77" s="217"/>
      <c r="B77" s="217"/>
      <c r="C77" s="217"/>
      <c r="D77" s="217"/>
      <c r="E77" s="217"/>
      <c r="F77" s="217"/>
      <c r="G77" s="217"/>
      <c r="H77" s="217"/>
      <c r="I77" s="217"/>
    </row>
    <row r="78" spans="1:9" x14ac:dyDescent="0.25">
      <c r="A78" s="217"/>
      <c r="B78" s="217"/>
      <c r="C78" s="217"/>
      <c r="D78" s="217"/>
      <c r="E78" s="217"/>
      <c r="F78" s="217"/>
      <c r="G78" s="217"/>
      <c r="H78" s="217"/>
      <c r="I78" s="217"/>
    </row>
    <row r="79" spans="1:9" x14ac:dyDescent="0.25">
      <c r="A79" s="217"/>
      <c r="B79" s="217"/>
      <c r="C79" s="217"/>
      <c r="D79" s="217"/>
      <c r="E79" s="217"/>
      <c r="F79" s="217"/>
      <c r="G79" s="217"/>
      <c r="H79" s="217"/>
      <c r="I79" s="217"/>
    </row>
    <row r="80" spans="1:9" x14ac:dyDescent="0.25">
      <c r="A80" s="217"/>
      <c r="B80" s="217"/>
      <c r="C80" s="217"/>
      <c r="D80" s="217"/>
      <c r="E80" s="217"/>
      <c r="F80" s="217"/>
      <c r="G80" s="217"/>
      <c r="H80" s="217"/>
      <c r="I80" s="217"/>
    </row>
    <row r="81" spans="1:9" x14ac:dyDescent="0.25">
      <c r="A81" s="217"/>
      <c r="B81" s="217"/>
      <c r="C81" s="217"/>
      <c r="D81" s="217"/>
      <c r="E81" s="217"/>
      <c r="F81" s="217"/>
      <c r="G81" s="217"/>
      <c r="H81" s="217"/>
      <c r="I81" s="217"/>
    </row>
    <row r="82" spans="1:9" x14ac:dyDescent="0.25">
      <c r="A82" s="217"/>
      <c r="B82" s="217"/>
      <c r="C82" s="217"/>
      <c r="D82" s="217"/>
      <c r="E82" s="217"/>
      <c r="F82" s="217"/>
      <c r="G82" s="217"/>
      <c r="H82" s="217"/>
      <c r="I82" s="217"/>
    </row>
    <row r="83" spans="1:9" x14ac:dyDescent="0.25">
      <c r="A83" s="217"/>
      <c r="B83" s="217"/>
      <c r="C83" s="217"/>
      <c r="D83" s="217"/>
      <c r="E83" s="217"/>
      <c r="F83" s="217"/>
      <c r="G83" s="217"/>
      <c r="H83" s="217"/>
      <c r="I83" s="217"/>
    </row>
    <row r="84" spans="1:9" x14ac:dyDescent="0.25">
      <c r="A84" s="217"/>
      <c r="B84" s="217"/>
      <c r="C84" s="217"/>
      <c r="D84" s="217"/>
      <c r="E84" s="217"/>
      <c r="F84" s="217"/>
      <c r="G84" s="217"/>
      <c r="H84" s="217"/>
      <c r="I84" s="217"/>
    </row>
    <row r="85" spans="1:9" x14ac:dyDescent="0.25">
      <c r="A85" s="217"/>
      <c r="B85" s="217"/>
      <c r="C85" s="217"/>
      <c r="D85" s="217"/>
      <c r="E85" s="217"/>
      <c r="F85" s="217"/>
      <c r="G85" s="217"/>
      <c r="H85" s="217"/>
      <c r="I85" s="217"/>
    </row>
    <row r="86" spans="1:9" x14ac:dyDescent="0.25">
      <c r="A86" s="217"/>
      <c r="B86" s="217"/>
      <c r="C86" s="217"/>
      <c r="D86" s="217"/>
      <c r="E86" s="217"/>
      <c r="F86" s="217"/>
      <c r="G86" s="217"/>
      <c r="H86" s="217"/>
      <c r="I86" s="217"/>
    </row>
    <row r="87" spans="1:9" x14ac:dyDescent="0.25">
      <c r="A87" s="217"/>
      <c r="B87" s="217"/>
      <c r="C87" s="217"/>
      <c r="D87" s="217"/>
      <c r="E87" s="217"/>
      <c r="F87" s="217"/>
      <c r="G87" s="217"/>
      <c r="H87" s="217"/>
      <c r="I87" s="217"/>
    </row>
    <row r="88" spans="1:9" x14ac:dyDescent="0.25">
      <c r="A88" s="217"/>
      <c r="B88" s="217"/>
      <c r="C88" s="217"/>
      <c r="D88" s="217"/>
      <c r="E88" s="217"/>
      <c r="F88" s="217"/>
      <c r="G88" s="217"/>
      <c r="H88" s="217"/>
      <c r="I88" s="217"/>
    </row>
    <row r="89" spans="1:9" x14ac:dyDescent="0.25">
      <c r="A89" s="217"/>
      <c r="B89" s="217"/>
      <c r="C89" s="217"/>
      <c r="D89" s="217"/>
      <c r="E89" s="217"/>
      <c r="F89" s="217"/>
      <c r="G89" s="217"/>
      <c r="H89" s="217"/>
      <c r="I89" s="217"/>
    </row>
    <row r="90" spans="1:9" x14ac:dyDescent="0.25">
      <c r="A90" s="217"/>
      <c r="B90" s="217"/>
      <c r="C90" s="217"/>
      <c r="D90" s="217"/>
      <c r="E90" s="217"/>
      <c r="F90" s="217"/>
      <c r="G90" s="217"/>
      <c r="H90" s="217"/>
      <c r="I90" s="217"/>
    </row>
    <row r="91" spans="1:9" x14ac:dyDescent="0.25">
      <c r="A91" s="217"/>
      <c r="B91" s="217"/>
      <c r="C91" s="217"/>
      <c r="D91" s="217"/>
      <c r="E91" s="217"/>
      <c r="F91" s="217"/>
      <c r="G91" s="217"/>
      <c r="H91" s="217"/>
      <c r="I91" s="217"/>
    </row>
    <row r="92" spans="1:9" x14ac:dyDescent="0.25">
      <c r="A92" s="217"/>
      <c r="B92" s="217"/>
      <c r="C92" s="217"/>
      <c r="D92" s="217"/>
      <c r="E92" s="217"/>
      <c r="F92" s="217"/>
      <c r="G92" s="217"/>
      <c r="H92" s="217"/>
      <c r="I92" s="217"/>
    </row>
    <row r="93" spans="1:9" x14ac:dyDescent="0.25">
      <c r="A93" s="217"/>
      <c r="B93" s="217"/>
      <c r="C93" s="217"/>
      <c r="D93" s="217"/>
      <c r="E93" s="217"/>
      <c r="F93" s="217"/>
      <c r="G93" s="217"/>
      <c r="H93" s="217"/>
      <c r="I93" s="217"/>
    </row>
    <row r="94" spans="1:9" x14ac:dyDescent="0.25">
      <c r="A94" s="217"/>
      <c r="B94" s="217"/>
      <c r="C94" s="217"/>
      <c r="D94" s="217"/>
      <c r="E94" s="217"/>
      <c r="F94" s="217"/>
      <c r="G94" s="217"/>
      <c r="H94" s="217"/>
      <c r="I94" s="217"/>
    </row>
    <row r="95" spans="1:9" x14ac:dyDescent="0.25">
      <c r="A95" s="217"/>
      <c r="B95" s="217"/>
      <c r="C95" s="217"/>
      <c r="D95" s="217"/>
      <c r="E95" s="217"/>
      <c r="F95" s="217"/>
      <c r="G95" s="217"/>
      <c r="H95" s="217"/>
      <c r="I95" s="217"/>
    </row>
    <row r="96" spans="1:9" x14ac:dyDescent="0.25">
      <c r="A96" s="217"/>
      <c r="B96" s="217"/>
      <c r="C96" s="217"/>
      <c r="D96" s="217"/>
      <c r="E96" s="217"/>
      <c r="F96" s="217"/>
      <c r="G96" s="217"/>
      <c r="H96" s="217"/>
      <c r="I96" s="217"/>
    </row>
    <row r="97" spans="1:9" x14ac:dyDescent="0.25">
      <c r="A97" s="217"/>
      <c r="B97" s="217"/>
      <c r="C97" s="217"/>
      <c r="D97" s="217"/>
      <c r="E97" s="217"/>
      <c r="F97" s="217"/>
      <c r="G97" s="217"/>
      <c r="H97" s="217"/>
      <c r="I97" s="217"/>
    </row>
    <row r="98" spans="1:9" x14ac:dyDescent="0.25">
      <c r="A98" s="217"/>
      <c r="B98" s="217"/>
      <c r="C98" s="217"/>
      <c r="D98" s="217"/>
      <c r="E98" s="217"/>
      <c r="F98" s="217"/>
      <c r="G98" s="217"/>
      <c r="H98" s="217"/>
      <c r="I98" s="217"/>
    </row>
    <row r="99" spans="1:9" x14ac:dyDescent="0.25">
      <c r="A99" s="217"/>
      <c r="B99" s="217"/>
      <c r="C99" s="217"/>
      <c r="D99" s="217"/>
      <c r="E99" s="217"/>
      <c r="F99" s="217"/>
      <c r="G99" s="217"/>
      <c r="H99" s="217"/>
      <c r="I99" s="217"/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1" spans="1:9" x14ac:dyDescent="0.25">
      <c r="A101" s="217"/>
      <c r="B101" s="217"/>
      <c r="C101" s="217"/>
      <c r="D101" s="217"/>
      <c r="E101" s="217"/>
      <c r="F101" s="217"/>
      <c r="G101" s="217"/>
      <c r="H101" s="217"/>
      <c r="I101" s="217"/>
    </row>
    <row r="102" spans="1:9" x14ac:dyDescent="0.25">
      <c r="A102" s="217"/>
      <c r="B102" s="217"/>
      <c r="C102" s="217"/>
      <c r="D102" s="217"/>
      <c r="E102" s="217"/>
      <c r="F102" s="217"/>
      <c r="G102" s="217"/>
      <c r="H102" s="217"/>
      <c r="I102" s="217"/>
    </row>
    <row r="103" spans="1:9" x14ac:dyDescent="0.25">
      <c r="A103" s="217"/>
      <c r="B103" s="217"/>
      <c r="C103" s="217"/>
      <c r="D103" s="217"/>
      <c r="E103" s="217"/>
      <c r="F103" s="217"/>
      <c r="G103" s="217"/>
      <c r="H103" s="217"/>
      <c r="I103" s="217"/>
    </row>
    <row r="104" spans="1:9" x14ac:dyDescent="0.25">
      <c r="A104" s="217"/>
      <c r="B104" s="217"/>
      <c r="C104" s="217"/>
      <c r="D104" s="217"/>
      <c r="E104" s="217"/>
      <c r="F104" s="217"/>
      <c r="G104" s="217"/>
      <c r="H104" s="217"/>
      <c r="I104" s="217"/>
    </row>
    <row r="105" spans="1:9" x14ac:dyDescent="0.25">
      <c r="A105" s="217"/>
      <c r="B105" s="217"/>
      <c r="C105" s="217"/>
      <c r="D105" s="217"/>
      <c r="E105" s="217"/>
      <c r="F105" s="217"/>
      <c r="G105" s="217"/>
      <c r="H105" s="217"/>
      <c r="I105" s="217"/>
    </row>
    <row r="106" spans="1:9" x14ac:dyDescent="0.25">
      <c r="A106" s="217"/>
      <c r="B106" s="217"/>
      <c r="C106" s="217"/>
      <c r="D106" s="217"/>
      <c r="E106" s="217"/>
      <c r="F106" s="217"/>
      <c r="G106" s="217"/>
      <c r="H106" s="217"/>
      <c r="I106" s="217"/>
    </row>
    <row r="107" spans="1:9" x14ac:dyDescent="0.25">
      <c r="A107" s="217"/>
      <c r="B107" s="217"/>
      <c r="C107" s="217"/>
      <c r="D107" s="217"/>
      <c r="E107" s="217"/>
      <c r="F107" s="217"/>
      <c r="G107" s="217"/>
      <c r="H107" s="217"/>
      <c r="I107" s="217"/>
    </row>
    <row r="108" spans="1:9" x14ac:dyDescent="0.25">
      <c r="A108" s="217"/>
      <c r="B108" s="217"/>
      <c r="C108" s="217"/>
      <c r="D108" s="217"/>
      <c r="E108" s="217"/>
      <c r="F108" s="217"/>
      <c r="G108" s="217"/>
      <c r="H108" s="217"/>
      <c r="I108" s="217"/>
    </row>
    <row r="109" spans="1:9" x14ac:dyDescent="0.25">
      <c r="A109" s="217"/>
      <c r="B109" s="217"/>
      <c r="C109" s="217"/>
      <c r="D109" s="217"/>
      <c r="E109" s="217"/>
      <c r="F109" s="217"/>
      <c r="G109" s="217"/>
      <c r="H109" s="217"/>
      <c r="I109" s="217"/>
    </row>
    <row r="110" spans="1:9" x14ac:dyDescent="0.25">
      <c r="A110" s="217"/>
      <c r="B110" s="217"/>
      <c r="C110" s="217"/>
      <c r="D110" s="217"/>
      <c r="E110" s="217"/>
      <c r="F110" s="217"/>
      <c r="G110" s="217"/>
      <c r="H110" s="217"/>
      <c r="I110" s="217"/>
    </row>
    <row r="111" spans="1:9" x14ac:dyDescent="0.25">
      <c r="A111" s="217"/>
      <c r="B111" s="217"/>
      <c r="C111" s="217"/>
      <c r="D111" s="217"/>
      <c r="E111" s="217"/>
      <c r="F111" s="217"/>
      <c r="G111" s="217"/>
      <c r="H111" s="217"/>
      <c r="I111" s="217"/>
    </row>
    <row r="112" spans="1:9" x14ac:dyDescent="0.25">
      <c r="A112" s="217"/>
      <c r="B112" s="217"/>
      <c r="C112" s="217"/>
      <c r="D112" s="217"/>
      <c r="E112" s="217"/>
      <c r="F112" s="217"/>
      <c r="G112" s="217"/>
      <c r="H112" s="217"/>
      <c r="I112" s="217"/>
    </row>
    <row r="113" spans="1:9" x14ac:dyDescent="0.25">
      <c r="A113" s="217"/>
      <c r="B113" s="217"/>
      <c r="C113" s="217"/>
      <c r="D113" s="217"/>
      <c r="E113" s="217"/>
      <c r="F113" s="217"/>
      <c r="G113" s="217"/>
      <c r="H113" s="217"/>
      <c r="I113" s="217"/>
    </row>
    <row r="114" spans="1:9" x14ac:dyDescent="0.25">
      <c r="A114" s="217"/>
      <c r="B114" s="217"/>
      <c r="C114" s="217"/>
      <c r="D114" s="217"/>
      <c r="E114" s="217"/>
      <c r="F114" s="217"/>
      <c r="G114" s="217"/>
      <c r="H114" s="217"/>
      <c r="I114" s="217"/>
    </row>
    <row r="115" spans="1:9" x14ac:dyDescent="0.25">
      <c r="A115" s="217"/>
      <c r="B115" s="217"/>
      <c r="C115" s="217"/>
      <c r="D115" s="217"/>
      <c r="E115" s="217"/>
      <c r="F115" s="217"/>
      <c r="G115" s="217"/>
      <c r="H115" s="217"/>
      <c r="I115" s="217"/>
    </row>
    <row r="116" spans="1:9" x14ac:dyDescent="0.25">
      <c r="A116" s="217"/>
      <c r="B116" s="217"/>
      <c r="C116" s="217"/>
      <c r="D116" s="217"/>
      <c r="E116" s="217"/>
      <c r="F116" s="217"/>
      <c r="G116" s="217"/>
      <c r="H116" s="217"/>
      <c r="I116" s="217"/>
    </row>
    <row r="117" spans="1:9" x14ac:dyDescent="0.25">
      <c r="A117" s="217"/>
      <c r="B117" s="217"/>
      <c r="C117" s="217"/>
      <c r="D117" s="217"/>
      <c r="E117" s="217"/>
      <c r="F117" s="217"/>
      <c r="G117" s="217"/>
      <c r="H117" s="217"/>
      <c r="I117" s="217"/>
    </row>
    <row r="118" spans="1:9" x14ac:dyDescent="0.25">
      <c r="A118" s="217"/>
      <c r="B118" s="217"/>
      <c r="C118" s="217"/>
      <c r="D118" s="217"/>
      <c r="E118" s="217"/>
      <c r="F118" s="217"/>
      <c r="G118" s="217"/>
      <c r="H118" s="217"/>
      <c r="I118" s="217"/>
    </row>
    <row r="119" spans="1:9" x14ac:dyDescent="0.25">
      <c r="A119" s="217"/>
      <c r="B119" s="217"/>
      <c r="C119" s="217"/>
      <c r="D119" s="217"/>
      <c r="E119" s="217"/>
      <c r="F119" s="217"/>
      <c r="G119" s="217"/>
      <c r="H119" s="217"/>
      <c r="I119" s="217"/>
    </row>
    <row r="120" spans="1:9" x14ac:dyDescent="0.25">
      <c r="A120" s="217"/>
      <c r="B120" s="217"/>
      <c r="C120" s="217"/>
      <c r="D120" s="217"/>
      <c r="E120" s="217"/>
      <c r="F120" s="217"/>
      <c r="G120" s="217"/>
      <c r="H120" s="217"/>
      <c r="I120" s="217"/>
    </row>
    <row r="121" spans="1:9" x14ac:dyDescent="0.25">
      <c r="A121" s="217"/>
      <c r="B121" s="217"/>
      <c r="C121" s="217"/>
      <c r="D121" s="217"/>
      <c r="E121" s="217"/>
      <c r="F121" s="217"/>
      <c r="G121" s="217"/>
      <c r="H121" s="217"/>
      <c r="I121" s="217"/>
    </row>
    <row r="122" spans="1:9" x14ac:dyDescent="0.25">
      <c r="A122" s="217"/>
      <c r="B122" s="217"/>
      <c r="C122" s="217"/>
      <c r="D122" s="217"/>
      <c r="E122" s="217"/>
      <c r="F122" s="217"/>
      <c r="G122" s="217"/>
      <c r="H122" s="217"/>
      <c r="I122" s="217"/>
    </row>
    <row r="123" spans="1:9" x14ac:dyDescent="0.25">
      <c r="A123" s="217"/>
      <c r="B123" s="217"/>
      <c r="C123" s="217"/>
      <c r="D123" s="217"/>
      <c r="E123" s="217"/>
      <c r="F123" s="217"/>
      <c r="G123" s="217"/>
      <c r="H123" s="217"/>
      <c r="I123" s="217"/>
    </row>
    <row r="124" spans="1:9" x14ac:dyDescent="0.25">
      <c r="A124" s="217"/>
      <c r="B124" s="217"/>
      <c r="C124" s="217"/>
      <c r="D124" s="217"/>
      <c r="E124" s="217"/>
      <c r="F124" s="217"/>
      <c r="G124" s="217"/>
      <c r="H124" s="217"/>
      <c r="I124" s="217"/>
    </row>
    <row r="125" spans="1:9" x14ac:dyDescent="0.25">
      <c r="A125" s="217"/>
      <c r="B125" s="217"/>
      <c r="C125" s="217"/>
      <c r="D125" s="217"/>
      <c r="E125" s="217"/>
      <c r="F125" s="217"/>
      <c r="G125" s="217"/>
      <c r="H125" s="217"/>
      <c r="I125" s="217"/>
    </row>
    <row r="126" spans="1:9" x14ac:dyDescent="0.25">
      <c r="A126" s="217"/>
      <c r="B126" s="217"/>
      <c r="C126" s="217"/>
      <c r="D126" s="217"/>
      <c r="E126" s="217"/>
      <c r="F126" s="217"/>
      <c r="G126" s="217"/>
      <c r="H126" s="217"/>
      <c r="I126" s="217"/>
    </row>
    <row r="127" spans="1:9" x14ac:dyDescent="0.25">
      <c r="A127" s="217"/>
      <c r="B127" s="217"/>
      <c r="C127" s="217"/>
      <c r="D127" s="217"/>
      <c r="E127" s="217"/>
      <c r="F127" s="217"/>
      <c r="G127" s="217"/>
      <c r="H127" s="217"/>
      <c r="I127" s="217"/>
    </row>
    <row r="128" spans="1:9" x14ac:dyDescent="0.25">
      <c r="A128" s="217"/>
      <c r="B128" s="217"/>
      <c r="C128" s="217"/>
      <c r="D128" s="217"/>
      <c r="E128" s="217"/>
      <c r="F128" s="217"/>
      <c r="G128" s="217"/>
      <c r="H128" s="217"/>
      <c r="I128" s="217"/>
    </row>
    <row r="129" spans="1:9" x14ac:dyDescent="0.25">
      <c r="A129" s="217"/>
      <c r="B129" s="217"/>
      <c r="C129" s="217"/>
      <c r="D129" s="217"/>
      <c r="E129" s="217"/>
      <c r="F129" s="217"/>
      <c r="G129" s="217"/>
      <c r="H129" s="217"/>
      <c r="I129" s="217"/>
    </row>
    <row r="130" spans="1:9" x14ac:dyDescent="0.25">
      <c r="A130" s="217"/>
      <c r="B130" s="217"/>
      <c r="C130" s="217"/>
      <c r="D130" s="217"/>
      <c r="E130" s="217"/>
      <c r="F130" s="217"/>
      <c r="G130" s="217"/>
      <c r="H130" s="217"/>
      <c r="I130" s="217"/>
    </row>
    <row r="131" spans="1:9" x14ac:dyDescent="0.25">
      <c r="A131" s="217"/>
      <c r="B131" s="217"/>
      <c r="C131" s="217"/>
      <c r="D131" s="217"/>
      <c r="E131" s="217"/>
      <c r="F131" s="217"/>
      <c r="G131" s="217"/>
      <c r="H131" s="217"/>
      <c r="I131" s="217"/>
    </row>
    <row r="132" spans="1:9" x14ac:dyDescent="0.25">
      <c r="A132" s="217"/>
      <c r="B132" s="217"/>
      <c r="C132" s="217"/>
      <c r="D132" s="217"/>
      <c r="E132" s="217"/>
      <c r="F132" s="217"/>
      <c r="G132" s="217"/>
      <c r="H132" s="217"/>
      <c r="I132" s="217"/>
    </row>
    <row r="133" spans="1:9" x14ac:dyDescent="0.25">
      <c r="A133" s="217"/>
      <c r="B133" s="217"/>
      <c r="C133" s="217"/>
      <c r="D133" s="217"/>
      <c r="E133" s="217"/>
      <c r="F133" s="217"/>
      <c r="G133" s="217"/>
      <c r="H133" s="217"/>
      <c r="I133" s="217"/>
    </row>
    <row r="134" spans="1:9" x14ac:dyDescent="0.25">
      <c r="A134" s="217"/>
      <c r="B134" s="217"/>
      <c r="C134" s="217"/>
      <c r="D134" s="217"/>
      <c r="E134" s="217"/>
      <c r="F134" s="217"/>
      <c r="G134" s="217"/>
      <c r="H134" s="217"/>
      <c r="I134" s="217"/>
    </row>
    <row r="135" spans="1:9" x14ac:dyDescent="0.25">
      <c r="A135" s="217"/>
      <c r="B135" s="217"/>
      <c r="C135" s="217"/>
      <c r="D135" s="217"/>
      <c r="E135" s="217"/>
      <c r="F135" s="217"/>
      <c r="G135" s="217"/>
      <c r="H135" s="217"/>
      <c r="I135" s="217"/>
    </row>
    <row r="136" spans="1:9" x14ac:dyDescent="0.25">
      <c r="A136" s="217"/>
      <c r="B136" s="217"/>
      <c r="C136" s="217"/>
      <c r="D136" s="217"/>
      <c r="E136" s="217"/>
      <c r="F136" s="217"/>
      <c r="G136" s="217"/>
      <c r="H136" s="217"/>
      <c r="I136" s="217"/>
    </row>
    <row r="137" spans="1:9" x14ac:dyDescent="0.25">
      <c r="A137" s="217"/>
      <c r="B137" s="217"/>
      <c r="C137" s="217"/>
      <c r="D137" s="217"/>
      <c r="E137" s="217"/>
      <c r="F137" s="217"/>
      <c r="G137" s="217"/>
      <c r="H137" s="217"/>
      <c r="I137" s="217"/>
    </row>
    <row r="138" spans="1:9" x14ac:dyDescent="0.25">
      <c r="A138" s="217"/>
      <c r="B138" s="217"/>
      <c r="C138" s="217"/>
      <c r="D138" s="217"/>
      <c r="E138" s="217"/>
      <c r="F138" s="217"/>
      <c r="G138" s="217"/>
      <c r="H138" s="217"/>
      <c r="I138" s="217"/>
    </row>
    <row r="139" spans="1:9" x14ac:dyDescent="0.25">
      <c r="A139" s="217"/>
      <c r="B139" s="217"/>
      <c r="C139" s="217"/>
      <c r="D139" s="217"/>
      <c r="E139" s="217"/>
      <c r="F139" s="217"/>
      <c r="G139" s="217"/>
      <c r="H139" s="217"/>
      <c r="I139" s="217"/>
    </row>
    <row r="140" spans="1:9" x14ac:dyDescent="0.25">
      <c r="A140" s="217"/>
      <c r="B140" s="217"/>
      <c r="C140" s="217"/>
      <c r="D140" s="217"/>
      <c r="E140" s="217"/>
      <c r="F140" s="217"/>
      <c r="G140" s="217"/>
      <c r="H140" s="217"/>
      <c r="I140" s="217"/>
    </row>
    <row r="141" spans="1:9" x14ac:dyDescent="0.25">
      <c r="A141" s="217"/>
      <c r="B141" s="217"/>
      <c r="C141" s="217"/>
      <c r="D141" s="217"/>
      <c r="E141" s="217"/>
      <c r="F141" s="217"/>
      <c r="G141" s="217"/>
      <c r="H141" s="217"/>
      <c r="I141" s="217"/>
    </row>
    <row r="142" spans="1:9" x14ac:dyDescent="0.25">
      <c r="A142" s="217"/>
      <c r="B142" s="217"/>
      <c r="C142" s="217"/>
      <c r="D142" s="217"/>
      <c r="E142" s="217"/>
      <c r="F142" s="217"/>
      <c r="G142" s="217"/>
      <c r="H142" s="217"/>
      <c r="I142" s="217"/>
    </row>
    <row r="143" spans="1:9" x14ac:dyDescent="0.25">
      <c r="A143" s="217"/>
      <c r="B143" s="217"/>
      <c r="C143" s="217"/>
      <c r="D143" s="217"/>
      <c r="E143" s="217"/>
      <c r="F143" s="217"/>
      <c r="G143" s="217"/>
      <c r="H143" s="217"/>
      <c r="I143" s="217"/>
    </row>
    <row r="144" spans="1:9" x14ac:dyDescent="0.25">
      <c r="A144" s="217"/>
      <c r="B144" s="217"/>
      <c r="C144" s="217"/>
      <c r="D144" s="217"/>
      <c r="E144" s="217"/>
      <c r="F144" s="217"/>
      <c r="G144" s="217"/>
      <c r="H144" s="217"/>
      <c r="I144" s="217"/>
    </row>
    <row r="145" spans="1:9" x14ac:dyDescent="0.25">
      <c r="A145" s="217"/>
      <c r="B145" s="217"/>
      <c r="C145" s="217"/>
      <c r="D145" s="217"/>
      <c r="E145" s="217"/>
      <c r="F145" s="217"/>
      <c r="G145" s="217"/>
      <c r="H145" s="217"/>
      <c r="I145" s="217"/>
    </row>
    <row r="146" spans="1:9" x14ac:dyDescent="0.25">
      <c r="A146" s="217"/>
      <c r="B146" s="217"/>
      <c r="C146" s="217"/>
      <c r="D146" s="217"/>
      <c r="E146" s="217"/>
      <c r="F146" s="217"/>
      <c r="G146" s="217"/>
      <c r="H146" s="217"/>
      <c r="I146" s="217"/>
    </row>
    <row r="147" spans="1:9" x14ac:dyDescent="0.25">
      <c r="A147" s="217"/>
      <c r="B147" s="217"/>
      <c r="C147" s="217"/>
      <c r="D147" s="217"/>
      <c r="E147" s="217"/>
      <c r="F147" s="217"/>
      <c r="G147" s="217"/>
      <c r="H147" s="217"/>
      <c r="I147" s="217"/>
    </row>
    <row r="148" spans="1:9" x14ac:dyDescent="0.25">
      <c r="A148" s="217"/>
      <c r="B148" s="217"/>
      <c r="C148" s="217"/>
      <c r="D148" s="217"/>
      <c r="E148" s="217"/>
      <c r="F148" s="217"/>
      <c r="G148" s="217"/>
      <c r="H148" s="217"/>
      <c r="I148" s="217"/>
    </row>
    <row r="149" spans="1:9" x14ac:dyDescent="0.25">
      <c r="A149" s="217"/>
      <c r="B149" s="217"/>
      <c r="C149" s="217"/>
      <c r="D149" s="217"/>
      <c r="E149" s="217"/>
      <c r="F149" s="217"/>
      <c r="G149" s="217"/>
      <c r="H149" s="217"/>
      <c r="I149" s="217"/>
    </row>
    <row r="150" spans="1:9" x14ac:dyDescent="0.25">
      <c r="A150" s="217"/>
      <c r="B150" s="217"/>
      <c r="C150" s="217"/>
      <c r="D150" s="217"/>
      <c r="E150" s="217"/>
      <c r="F150" s="217"/>
      <c r="G150" s="217"/>
      <c r="H150" s="217"/>
      <c r="I150" s="217"/>
    </row>
    <row r="151" spans="1:9" x14ac:dyDescent="0.25">
      <c r="A151" s="217"/>
      <c r="B151" s="217"/>
      <c r="C151" s="217"/>
      <c r="D151" s="217"/>
      <c r="E151" s="217"/>
      <c r="F151" s="217"/>
      <c r="G151" s="217"/>
      <c r="H151" s="217"/>
      <c r="I151" s="217"/>
    </row>
    <row r="152" spans="1:9" x14ac:dyDescent="0.25">
      <c r="A152" s="217"/>
      <c r="B152" s="217"/>
      <c r="C152" s="217"/>
      <c r="D152" s="217"/>
      <c r="E152" s="217"/>
      <c r="F152" s="217"/>
      <c r="G152" s="217"/>
      <c r="H152" s="217"/>
      <c r="I152" s="217"/>
    </row>
    <row r="153" spans="1:9" x14ac:dyDescent="0.25">
      <c r="A153" s="217"/>
      <c r="B153" s="217"/>
      <c r="C153" s="217"/>
      <c r="D153" s="217"/>
      <c r="E153" s="217"/>
      <c r="F153" s="217"/>
      <c r="G153" s="217"/>
      <c r="H153" s="217"/>
      <c r="I153" s="217"/>
    </row>
    <row r="154" spans="1:9" x14ac:dyDescent="0.25">
      <c r="A154" s="217"/>
      <c r="B154" s="217"/>
      <c r="C154" s="217"/>
      <c r="D154" s="217"/>
      <c r="E154" s="217"/>
      <c r="F154" s="217"/>
      <c r="G154" s="217"/>
      <c r="H154" s="217"/>
      <c r="I154" s="217"/>
    </row>
    <row r="155" spans="1:9" x14ac:dyDescent="0.25">
      <c r="A155" s="217"/>
      <c r="B155" s="217"/>
      <c r="C155" s="217"/>
      <c r="D155" s="217"/>
      <c r="E155" s="217"/>
      <c r="F155" s="217"/>
      <c r="G155" s="217"/>
      <c r="H155" s="217"/>
      <c r="I155" s="217"/>
    </row>
    <row r="156" spans="1:9" x14ac:dyDescent="0.25">
      <c r="A156" s="217"/>
      <c r="B156" s="217"/>
      <c r="C156" s="217"/>
      <c r="D156" s="217"/>
      <c r="E156" s="217"/>
      <c r="F156" s="217"/>
      <c r="G156" s="217"/>
      <c r="H156" s="217"/>
      <c r="I156" s="217"/>
    </row>
    <row r="157" spans="1:9" x14ac:dyDescent="0.25">
      <c r="A157" s="217"/>
      <c r="B157" s="217"/>
      <c r="C157" s="217"/>
      <c r="D157" s="217"/>
      <c r="E157" s="217"/>
      <c r="F157" s="217"/>
      <c r="G157" s="217"/>
      <c r="H157" s="217"/>
      <c r="I157" s="217"/>
    </row>
    <row r="158" spans="1:9" x14ac:dyDescent="0.25">
      <c r="A158" s="217"/>
      <c r="B158" s="217"/>
      <c r="C158" s="217"/>
      <c r="D158" s="217"/>
      <c r="E158" s="217"/>
      <c r="F158" s="217"/>
      <c r="G158" s="217"/>
      <c r="H158" s="217"/>
      <c r="I158" s="217"/>
    </row>
    <row r="159" spans="1:9" x14ac:dyDescent="0.25">
      <c r="A159" s="217"/>
      <c r="B159" s="217"/>
      <c r="C159" s="217"/>
      <c r="D159" s="217"/>
      <c r="E159" s="217"/>
      <c r="F159" s="217"/>
      <c r="G159" s="217"/>
      <c r="H159" s="217"/>
      <c r="I159" s="217"/>
    </row>
    <row r="160" spans="1:9" x14ac:dyDescent="0.25">
      <c r="A160" s="217"/>
      <c r="B160" s="217"/>
      <c r="C160" s="217"/>
      <c r="D160" s="217"/>
      <c r="E160" s="217"/>
      <c r="F160" s="217"/>
      <c r="G160" s="217"/>
      <c r="H160" s="217"/>
      <c r="I160" s="217"/>
    </row>
    <row r="161" spans="1:9" x14ac:dyDescent="0.25">
      <c r="A161" s="217"/>
      <c r="B161" s="217"/>
      <c r="C161" s="217"/>
      <c r="D161" s="217"/>
      <c r="E161" s="217"/>
      <c r="F161" s="217"/>
      <c r="G161" s="217"/>
      <c r="H161" s="217"/>
      <c r="I161" s="217"/>
    </row>
    <row r="162" spans="1:9" x14ac:dyDescent="0.25">
      <c r="A162" s="217"/>
      <c r="B162" s="217"/>
      <c r="C162" s="217"/>
      <c r="D162" s="217"/>
      <c r="E162" s="217"/>
      <c r="F162" s="217"/>
      <c r="G162" s="217"/>
      <c r="H162" s="217"/>
      <c r="I162" s="217"/>
    </row>
    <row r="163" spans="1:9" x14ac:dyDescent="0.25">
      <c r="A163" s="217"/>
      <c r="B163" s="217"/>
      <c r="C163" s="217"/>
      <c r="D163" s="217"/>
      <c r="E163" s="217"/>
      <c r="F163" s="217"/>
      <c r="G163" s="217"/>
      <c r="H163" s="217"/>
      <c r="I163" s="217"/>
    </row>
    <row r="164" spans="1:9" x14ac:dyDescent="0.25">
      <c r="A164" s="217"/>
      <c r="B164" s="217"/>
      <c r="C164" s="217"/>
      <c r="D164" s="217"/>
      <c r="E164" s="217"/>
      <c r="F164" s="217"/>
      <c r="G164" s="217"/>
      <c r="H164" s="217"/>
      <c r="I164" s="217"/>
    </row>
    <row r="165" spans="1:9" x14ac:dyDescent="0.25">
      <c r="A165" s="217"/>
      <c r="B165" s="217"/>
      <c r="C165" s="217"/>
      <c r="D165" s="217"/>
      <c r="E165" s="217"/>
      <c r="F165" s="217"/>
      <c r="G165" s="217"/>
      <c r="H165" s="217"/>
      <c r="I165" s="217"/>
    </row>
    <row r="166" spans="1:9" x14ac:dyDescent="0.25">
      <c r="A166" s="217"/>
      <c r="B166" s="217"/>
      <c r="C166" s="217"/>
      <c r="D166" s="217"/>
      <c r="E166" s="217"/>
      <c r="F166" s="217"/>
      <c r="G166" s="217"/>
      <c r="H166" s="217"/>
      <c r="I166" s="217"/>
    </row>
    <row r="167" spans="1:9" x14ac:dyDescent="0.25">
      <c r="A167" s="217"/>
      <c r="B167" s="217"/>
      <c r="C167" s="217"/>
      <c r="D167" s="217"/>
      <c r="E167" s="217"/>
      <c r="F167" s="217"/>
      <c r="G167" s="217"/>
      <c r="H167" s="217"/>
      <c r="I167" s="217"/>
    </row>
    <row r="168" spans="1:9" x14ac:dyDescent="0.25">
      <c r="A168" s="217"/>
      <c r="B168" s="217"/>
      <c r="C168" s="217"/>
      <c r="D168" s="217"/>
      <c r="E168" s="217"/>
      <c r="F168" s="217"/>
      <c r="G168" s="217"/>
      <c r="H168" s="217"/>
      <c r="I168" s="217"/>
    </row>
    <row r="169" spans="1:9" x14ac:dyDescent="0.25">
      <c r="A169" s="217"/>
      <c r="B169" s="217"/>
      <c r="C169" s="217"/>
      <c r="D169" s="217"/>
      <c r="E169" s="217"/>
      <c r="F169" s="217"/>
      <c r="G169" s="217"/>
      <c r="H169" s="217"/>
      <c r="I169" s="217"/>
    </row>
    <row r="170" spans="1:9" x14ac:dyDescent="0.25">
      <c r="A170" s="217"/>
      <c r="B170" s="217"/>
      <c r="C170" s="217"/>
      <c r="D170" s="217"/>
      <c r="E170" s="217"/>
      <c r="F170" s="217"/>
      <c r="G170" s="217"/>
      <c r="H170" s="217"/>
      <c r="I170" s="217"/>
    </row>
    <row r="171" spans="1:9" x14ac:dyDescent="0.25">
      <c r="A171" s="217"/>
      <c r="B171" s="217"/>
      <c r="C171" s="217"/>
      <c r="D171" s="217"/>
      <c r="E171" s="217"/>
      <c r="F171" s="217"/>
      <c r="G171" s="217"/>
      <c r="H171" s="217"/>
      <c r="I171" s="217"/>
    </row>
    <row r="172" spans="1:9" x14ac:dyDescent="0.25">
      <c r="A172" s="217"/>
      <c r="B172" s="217"/>
      <c r="C172" s="217"/>
      <c r="D172" s="217"/>
      <c r="E172" s="217"/>
      <c r="F172" s="217"/>
      <c r="G172" s="217"/>
      <c r="H172" s="217"/>
      <c r="I172" s="217"/>
    </row>
    <row r="173" spans="1:9" x14ac:dyDescent="0.25">
      <c r="A173" s="217"/>
      <c r="B173" s="217"/>
      <c r="C173" s="217"/>
      <c r="D173" s="217"/>
      <c r="E173" s="217"/>
      <c r="F173" s="217"/>
      <c r="G173" s="217"/>
      <c r="H173" s="217"/>
      <c r="I173" s="217"/>
    </row>
    <row r="174" spans="1:9" x14ac:dyDescent="0.25">
      <c r="A174" s="217"/>
      <c r="B174" s="217"/>
      <c r="C174" s="217"/>
      <c r="D174" s="217"/>
      <c r="E174" s="217"/>
      <c r="F174" s="217"/>
      <c r="G174" s="217"/>
      <c r="H174" s="217"/>
      <c r="I174" s="217"/>
    </row>
    <row r="175" spans="1:9" x14ac:dyDescent="0.25">
      <c r="A175" s="217"/>
      <c r="B175" s="217"/>
      <c r="C175" s="217"/>
      <c r="D175" s="217"/>
      <c r="E175" s="217"/>
      <c r="F175" s="217"/>
      <c r="G175" s="217"/>
      <c r="H175" s="217"/>
      <c r="I175" s="217"/>
    </row>
    <row r="176" spans="1:9" x14ac:dyDescent="0.25">
      <c r="A176" s="217"/>
      <c r="B176" s="217"/>
      <c r="C176" s="217"/>
      <c r="D176" s="217"/>
      <c r="E176" s="217"/>
      <c r="F176" s="217"/>
      <c r="G176" s="217"/>
      <c r="H176" s="217"/>
      <c r="I176" s="217"/>
    </row>
    <row r="177" spans="1:9" x14ac:dyDescent="0.25">
      <c r="A177" s="217"/>
      <c r="B177" s="217"/>
      <c r="C177" s="217"/>
      <c r="D177" s="217"/>
      <c r="E177" s="217"/>
      <c r="F177" s="217"/>
      <c r="G177" s="217"/>
      <c r="H177" s="217"/>
      <c r="I177" s="217"/>
    </row>
    <row r="178" spans="1:9" x14ac:dyDescent="0.25">
      <c r="A178" s="217"/>
      <c r="B178" s="217"/>
      <c r="C178" s="217"/>
      <c r="D178" s="217"/>
      <c r="E178" s="217"/>
      <c r="F178" s="217"/>
      <c r="G178" s="217"/>
      <c r="H178" s="217"/>
      <c r="I178" s="217"/>
    </row>
    <row r="179" spans="1:9" x14ac:dyDescent="0.25">
      <c r="A179" s="217"/>
      <c r="B179" s="217"/>
      <c r="C179" s="217"/>
      <c r="D179" s="217"/>
      <c r="E179" s="217"/>
      <c r="F179" s="217"/>
      <c r="G179" s="217"/>
      <c r="H179" s="217"/>
      <c r="I179" s="217"/>
    </row>
    <row r="180" spans="1:9" x14ac:dyDescent="0.25">
      <c r="A180" s="217"/>
      <c r="B180" s="217"/>
      <c r="C180" s="217"/>
      <c r="D180" s="217"/>
      <c r="E180" s="217"/>
      <c r="F180" s="217"/>
      <c r="G180" s="217"/>
      <c r="H180" s="217"/>
      <c r="I180" s="217"/>
    </row>
    <row r="181" spans="1:9" x14ac:dyDescent="0.25">
      <c r="A181" s="217"/>
      <c r="B181" s="217"/>
      <c r="C181" s="217"/>
      <c r="D181" s="217"/>
      <c r="E181" s="217"/>
      <c r="F181" s="217"/>
      <c r="G181" s="217"/>
      <c r="H181" s="217"/>
      <c r="I181" s="217"/>
    </row>
    <row r="182" spans="1:9" x14ac:dyDescent="0.25">
      <c r="A182" s="217"/>
      <c r="B182" s="217"/>
      <c r="C182" s="217"/>
      <c r="D182" s="217"/>
      <c r="E182" s="217"/>
      <c r="F182" s="217"/>
      <c r="G182" s="217"/>
      <c r="H182" s="217"/>
      <c r="I182" s="217"/>
    </row>
    <row r="183" spans="1:9" x14ac:dyDescent="0.25">
      <c r="A183" s="217"/>
      <c r="B183" s="217"/>
      <c r="C183" s="217"/>
      <c r="D183" s="217"/>
      <c r="E183" s="217"/>
      <c r="F183" s="217"/>
      <c r="G183" s="217"/>
      <c r="H183" s="217"/>
      <c r="I183" s="217"/>
    </row>
    <row r="184" spans="1:9" x14ac:dyDescent="0.25">
      <c r="A184" s="217"/>
      <c r="B184" s="217"/>
      <c r="C184" s="217"/>
      <c r="D184" s="217"/>
      <c r="E184" s="217"/>
      <c r="F184" s="217"/>
      <c r="G184" s="217"/>
      <c r="H184" s="217"/>
      <c r="I184" s="217"/>
    </row>
    <row r="185" spans="1:9" x14ac:dyDescent="0.25">
      <c r="A185" s="217"/>
      <c r="B185" s="217"/>
      <c r="C185" s="217"/>
      <c r="D185" s="217"/>
      <c r="E185" s="217"/>
      <c r="F185" s="217"/>
      <c r="G185" s="217"/>
      <c r="H185" s="217"/>
      <c r="I185" s="217"/>
    </row>
    <row r="186" spans="1:9" x14ac:dyDescent="0.25">
      <c r="A186" s="217"/>
      <c r="B186" s="217"/>
      <c r="C186" s="217"/>
      <c r="D186" s="217"/>
      <c r="E186" s="217"/>
      <c r="F186" s="217"/>
      <c r="G186" s="217"/>
      <c r="H186" s="217"/>
      <c r="I186" s="217"/>
    </row>
    <row r="187" spans="1:9" x14ac:dyDescent="0.25">
      <c r="A187" s="217"/>
      <c r="B187" s="217"/>
      <c r="C187" s="217"/>
      <c r="D187" s="217"/>
      <c r="E187" s="217"/>
      <c r="F187" s="217"/>
      <c r="G187" s="217"/>
      <c r="H187" s="217"/>
      <c r="I187" s="217"/>
    </row>
    <row r="188" spans="1:9" x14ac:dyDescent="0.25">
      <c r="A188" s="217"/>
      <c r="B188" s="217"/>
      <c r="C188" s="217"/>
      <c r="D188" s="217"/>
      <c r="E188" s="217"/>
      <c r="F188" s="217"/>
      <c r="G188" s="217"/>
      <c r="H188" s="217"/>
      <c r="I188" s="217"/>
    </row>
    <row r="189" spans="1:9" x14ac:dyDescent="0.25">
      <c r="A189" s="217"/>
      <c r="B189" s="217"/>
      <c r="C189" s="217"/>
      <c r="D189" s="217"/>
      <c r="E189" s="217"/>
      <c r="F189" s="217"/>
      <c r="G189" s="217"/>
      <c r="H189" s="217"/>
      <c r="I189" s="217"/>
    </row>
    <row r="190" spans="1:9" x14ac:dyDescent="0.25">
      <c r="A190" s="217"/>
      <c r="B190" s="217"/>
      <c r="C190" s="217"/>
      <c r="D190" s="217"/>
      <c r="E190" s="217"/>
      <c r="F190" s="217"/>
      <c r="G190" s="217"/>
      <c r="H190" s="217"/>
      <c r="I190" s="217"/>
    </row>
    <row r="191" spans="1:9" x14ac:dyDescent="0.25">
      <c r="A191" s="217"/>
      <c r="B191" s="217"/>
      <c r="C191" s="217"/>
      <c r="D191" s="217"/>
      <c r="E191" s="217"/>
      <c r="F191" s="217"/>
      <c r="G191" s="217"/>
      <c r="H191" s="217"/>
      <c r="I191" s="217"/>
    </row>
    <row r="192" spans="1:9" x14ac:dyDescent="0.25">
      <c r="A192" s="217"/>
      <c r="B192" s="217"/>
      <c r="C192" s="217"/>
      <c r="D192" s="217"/>
      <c r="E192" s="217"/>
      <c r="F192" s="217"/>
      <c r="G192" s="217"/>
      <c r="H192" s="217"/>
      <c r="I192" s="217"/>
    </row>
    <row r="193" spans="1:9" x14ac:dyDescent="0.25">
      <c r="A193" s="217"/>
      <c r="B193" s="217"/>
      <c r="C193" s="217"/>
      <c r="D193" s="217"/>
      <c r="E193" s="217"/>
      <c r="F193" s="217"/>
      <c r="G193" s="217"/>
      <c r="H193" s="217"/>
      <c r="I193" s="217"/>
    </row>
    <row r="194" spans="1:9" x14ac:dyDescent="0.25">
      <c r="A194" s="217"/>
      <c r="B194" s="217"/>
      <c r="C194" s="217"/>
      <c r="D194" s="217"/>
      <c r="E194" s="217"/>
      <c r="F194" s="217"/>
      <c r="G194" s="217"/>
      <c r="H194" s="217"/>
      <c r="I194" s="217"/>
    </row>
    <row r="195" spans="1:9" x14ac:dyDescent="0.25">
      <c r="A195" s="217"/>
      <c r="B195" s="217"/>
      <c r="C195" s="217"/>
      <c r="D195" s="217"/>
      <c r="E195" s="217"/>
      <c r="F195" s="217"/>
      <c r="G195" s="217"/>
      <c r="H195" s="217"/>
      <c r="I195" s="217"/>
    </row>
    <row r="196" spans="1:9" x14ac:dyDescent="0.25">
      <c r="A196" s="217"/>
      <c r="B196" s="217"/>
      <c r="C196" s="217"/>
      <c r="D196" s="217"/>
      <c r="E196" s="217"/>
      <c r="F196" s="217"/>
      <c r="G196" s="217"/>
      <c r="H196" s="217"/>
      <c r="I196" s="217"/>
    </row>
    <row r="197" spans="1:9" x14ac:dyDescent="0.25">
      <c r="A197" s="217"/>
      <c r="B197" s="217"/>
      <c r="C197" s="217"/>
      <c r="D197" s="217"/>
      <c r="E197" s="217"/>
      <c r="F197" s="217"/>
      <c r="G197" s="217"/>
      <c r="H197" s="217"/>
      <c r="I197" s="217"/>
    </row>
    <row r="198" spans="1:9" x14ac:dyDescent="0.25">
      <c r="A198" s="217"/>
      <c r="B198" s="217"/>
      <c r="C198" s="217"/>
      <c r="D198" s="217"/>
      <c r="E198" s="217"/>
      <c r="F198" s="217"/>
      <c r="G198" s="217"/>
      <c r="H198" s="217"/>
      <c r="I198" s="217"/>
    </row>
    <row r="199" spans="1:9" x14ac:dyDescent="0.25">
      <c r="A199" s="217"/>
      <c r="B199" s="217"/>
      <c r="C199" s="217"/>
      <c r="D199" s="217"/>
      <c r="E199" s="217"/>
      <c r="F199" s="217"/>
      <c r="G199" s="217"/>
      <c r="H199" s="217"/>
      <c r="I199" s="217"/>
    </row>
    <row r="200" spans="1:9" x14ac:dyDescent="0.25">
      <c r="A200" s="217"/>
      <c r="B200" s="217"/>
      <c r="C200" s="217"/>
      <c r="D200" s="217"/>
      <c r="E200" s="217"/>
      <c r="F200" s="217"/>
      <c r="G200" s="217"/>
      <c r="H200" s="217"/>
      <c r="I200" s="217"/>
    </row>
    <row r="201" spans="1:9" x14ac:dyDescent="0.25">
      <c r="A201" s="217"/>
      <c r="B201" s="217"/>
      <c r="C201" s="217"/>
      <c r="D201" s="217"/>
      <c r="E201" s="217"/>
      <c r="F201" s="217"/>
      <c r="G201" s="217"/>
      <c r="H201" s="217"/>
      <c r="I201" s="217"/>
    </row>
    <row r="202" spans="1:9" x14ac:dyDescent="0.25">
      <c r="A202" s="217"/>
      <c r="B202" s="217"/>
      <c r="C202" s="217"/>
      <c r="D202" s="217"/>
      <c r="E202" s="217"/>
      <c r="F202" s="217"/>
      <c r="G202" s="217"/>
      <c r="H202" s="217"/>
      <c r="I202" s="217"/>
    </row>
    <row r="203" spans="1:9" x14ac:dyDescent="0.25">
      <c r="A203" s="217"/>
      <c r="B203" s="217"/>
      <c r="C203" s="217"/>
      <c r="D203" s="217"/>
      <c r="E203" s="217"/>
      <c r="F203" s="217"/>
      <c r="G203" s="217"/>
      <c r="H203" s="217"/>
      <c r="I203" s="217"/>
    </row>
    <row r="204" spans="1:9" x14ac:dyDescent="0.25">
      <c r="A204" s="217"/>
      <c r="B204" s="217"/>
      <c r="C204" s="217"/>
      <c r="D204" s="217"/>
      <c r="E204" s="217"/>
      <c r="F204" s="217"/>
      <c r="G204" s="217"/>
      <c r="H204" s="217"/>
      <c r="I204" s="217"/>
    </row>
    <row r="205" spans="1:9" x14ac:dyDescent="0.25">
      <c r="A205" s="217"/>
      <c r="B205" s="217"/>
      <c r="C205" s="217"/>
      <c r="D205" s="217"/>
      <c r="E205" s="217"/>
      <c r="F205" s="217"/>
      <c r="G205" s="217"/>
      <c r="H205" s="217"/>
      <c r="I205" s="217"/>
    </row>
    <row r="206" spans="1:9" x14ac:dyDescent="0.25">
      <c r="A206" s="217"/>
      <c r="B206" s="217"/>
      <c r="C206" s="217"/>
      <c r="D206" s="217"/>
      <c r="E206" s="217"/>
      <c r="F206" s="217"/>
      <c r="G206" s="217"/>
      <c r="H206" s="217"/>
      <c r="I206" s="217"/>
    </row>
    <row r="207" spans="1:9" x14ac:dyDescent="0.25">
      <c r="A207" s="217"/>
      <c r="B207" s="217"/>
      <c r="C207" s="217"/>
      <c r="D207" s="217"/>
      <c r="E207" s="217"/>
      <c r="F207" s="217"/>
      <c r="G207" s="217"/>
      <c r="H207" s="217"/>
      <c r="I207" s="217"/>
    </row>
    <row r="208" spans="1:9" x14ac:dyDescent="0.25">
      <c r="A208" s="217"/>
      <c r="B208" s="217"/>
      <c r="C208" s="217"/>
      <c r="D208" s="217"/>
      <c r="E208" s="217"/>
      <c r="F208" s="217"/>
      <c r="G208" s="217"/>
      <c r="H208" s="217"/>
      <c r="I208" s="217"/>
    </row>
    <row r="209" spans="1:9" x14ac:dyDescent="0.25">
      <c r="A209" s="217"/>
      <c r="B209" s="217"/>
      <c r="C209" s="217"/>
      <c r="D209" s="217"/>
      <c r="E209" s="217"/>
      <c r="F209" s="217"/>
      <c r="G209" s="217"/>
      <c r="H209" s="217"/>
      <c r="I209" s="217"/>
    </row>
    <row r="210" spans="1:9" x14ac:dyDescent="0.25">
      <c r="A210" s="217"/>
      <c r="B210" s="217"/>
      <c r="C210" s="217"/>
      <c r="D210" s="217"/>
      <c r="E210" s="217"/>
      <c r="F210" s="217"/>
      <c r="G210" s="217"/>
      <c r="H210" s="217"/>
      <c r="I210" s="217"/>
    </row>
    <row r="211" spans="1:9" x14ac:dyDescent="0.25">
      <c r="A211" s="217"/>
      <c r="B211" s="217"/>
      <c r="C211" s="217"/>
      <c r="D211" s="217"/>
      <c r="E211" s="217"/>
      <c r="F211" s="217"/>
      <c r="G211" s="217"/>
      <c r="H211" s="217"/>
      <c r="I211" s="217"/>
    </row>
    <row r="212" spans="1:9" x14ac:dyDescent="0.25">
      <c r="A212" s="217"/>
      <c r="B212" s="217"/>
      <c r="C212" s="217"/>
      <c r="D212" s="217"/>
      <c r="E212" s="217"/>
      <c r="F212" s="217"/>
      <c r="G212" s="217"/>
      <c r="H212" s="217"/>
      <c r="I212" s="217"/>
    </row>
    <row r="213" spans="1:9" x14ac:dyDescent="0.25">
      <c r="A213" s="217"/>
      <c r="B213" s="217"/>
      <c r="C213" s="217"/>
      <c r="D213" s="217"/>
      <c r="E213" s="217"/>
      <c r="F213" s="217"/>
      <c r="G213" s="217"/>
      <c r="H213" s="217"/>
      <c r="I213" s="217"/>
    </row>
    <row r="214" spans="1:9" x14ac:dyDescent="0.25">
      <c r="A214" s="217"/>
      <c r="B214" s="217"/>
      <c r="C214" s="217"/>
      <c r="D214" s="217"/>
      <c r="E214" s="217"/>
      <c r="F214" s="217"/>
      <c r="G214" s="217"/>
      <c r="H214" s="217"/>
      <c r="I214" s="217"/>
    </row>
    <row r="215" spans="1:9" x14ac:dyDescent="0.25">
      <c r="A215" s="217"/>
      <c r="B215" s="217"/>
      <c r="C215" s="217"/>
      <c r="D215" s="217"/>
      <c r="E215" s="217"/>
      <c r="F215" s="217"/>
      <c r="G215" s="217"/>
      <c r="H215" s="217"/>
      <c r="I215" s="217"/>
    </row>
    <row r="216" spans="1:9" x14ac:dyDescent="0.25">
      <c r="A216" s="217"/>
      <c r="B216" s="217"/>
      <c r="C216" s="217"/>
      <c r="D216" s="217"/>
      <c r="E216" s="217"/>
      <c r="F216" s="217"/>
      <c r="G216" s="217"/>
      <c r="H216" s="217"/>
      <c r="I216" s="217"/>
    </row>
    <row r="217" spans="1:9" x14ac:dyDescent="0.25">
      <c r="A217" s="217"/>
      <c r="B217" s="217"/>
      <c r="C217" s="217"/>
      <c r="D217" s="217"/>
      <c r="E217" s="217"/>
      <c r="F217" s="217"/>
      <c r="G217" s="217"/>
      <c r="H217" s="217"/>
      <c r="I217" s="217"/>
    </row>
    <row r="218" spans="1:9" x14ac:dyDescent="0.25">
      <c r="A218" s="217"/>
      <c r="B218" s="217"/>
      <c r="C218" s="217"/>
      <c r="D218" s="217"/>
      <c r="E218" s="217"/>
      <c r="F218" s="217"/>
      <c r="G218" s="217"/>
      <c r="H218" s="217"/>
      <c r="I218" s="217"/>
    </row>
    <row r="219" spans="1:9" x14ac:dyDescent="0.25">
      <c r="A219" s="217"/>
      <c r="B219" s="217"/>
      <c r="C219" s="217"/>
      <c r="D219" s="217"/>
      <c r="E219" s="217"/>
      <c r="F219" s="217"/>
      <c r="G219" s="217"/>
      <c r="H219" s="217"/>
      <c r="I219" s="217"/>
    </row>
    <row r="220" spans="1:9" x14ac:dyDescent="0.25">
      <c r="A220" s="217"/>
      <c r="B220" s="217"/>
      <c r="C220" s="217"/>
      <c r="D220" s="217"/>
      <c r="E220" s="217"/>
      <c r="F220" s="217"/>
      <c r="G220" s="217"/>
      <c r="H220" s="217"/>
      <c r="I220" s="217"/>
    </row>
    <row r="221" spans="1:9" x14ac:dyDescent="0.25">
      <c r="A221" s="217"/>
      <c r="B221" s="217"/>
      <c r="C221" s="217"/>
      <c r="D221" s="217"/>
      <c r="E221" s="217"/>
      <c r="F221" s="217"/>
      <c r="G221" s="217"/>
      <c r="H221" s="217"/>
      <c r="I221" s="217"/>
    </row>
    <row r="222" spans="1:9" x14ac:dyDescent="0.25">
      <c r="A222" s="217"/>
      <c r="B222" s="217"/>
      <c r="C222" s="217"/>
      <c r="D222" s="217"/>
      <c r="E222" s="217"/>
      <c r="F222" s="217"/>
      <c r="G222" s="217"/>
      <c r="H222" s="217"/>
      <c r="I222" s="217"/>
    </row>
    <row r="223" spans="1:9" x14ac:dyDescent="0.25">
      <c r="A223" s="217"/>
      <c r="B223" s="217"/>
      <c r="C223" s="217"/>
      <c r="D223" s="217"/>
      <c r="E223" s="217"/>
      <c r="F223" s="217"/>
      <c r="G223" s="217"/>
      <c r="H223" s="217"/>
      <c r="I223" s="217"/>
    </row>
    <row r="224" spans="1:9" x14ac:dyDescent="0.25">
      <c r="A224" s="217"/>
      <c r="B224" s="217"/>
      <c r="C224" s="217"/>
      <c r="D224" s="217"/>
      <c r="E224" s="217"/>
      <c r="F224" s="217"/>
      <c r="G224" s="217"/>
      <c r="H224" s="217"/>
      <c r="I224" s="217"/>
    </row>
    <row r="225" spans="1:9" x14ac:dyDescent="0.25">
      <c r="A225" s="217"/>
      <c r="B225" s="217"/>
      <c r="C225" s="217"/>
      <c r="D225" s="217"/>
      <c r="E225" s="217"/>
      <c r="F225" s="217"/>
      <c r="G225" s="217"/>
      <c r="H225" s="217"/>
      <c r="I225" s="217"/>
    </row>
    <row r="226" spans="1:9" x14ac:dyDescent="0.25">
      <c r="A226" s="217"/>
      <c r="B226" s="217"/>
      <c r="C226" s="217"/>
      <c r="D226" s="217"/>
      <c r="E226" s="217"/>
      <c r="F226" s="217"/>
      <c r="G226" s="217"/>
      <c r="H226" s="217"/>
      <c r="I226" s="217"/>
    </row>
    <row r="227" spans="1:9" x14ac:dyDescent="0.25">
      <c r="A227" s="217"/>
      <c r="B227" s="217"/>
      <c r="C227" s="217"/>
      <c r="D227" s="217"/>
      <c r="E227" s="217"/>
      <c r="F227" s="217"/>
      <c r="G227" s="217"/>
      <c r="H227" s="217"/>
      <c r="I227" s="217"/>
    </row>
    <row r="228" spans="1:9" x14ac:dyDescent="0.25">
      <c r="A228" s="217"/>
      <c r="B228" s="217"/>
      <c r="C228" s="217"/>
      <c r="D228" s="217"/>
      <c r="E228" s="217"/>
      <c r="F228" s="217"/>
      <c r="G228" s="217"/>
      <c r="H228" s="217"/>
      <c r="I228" s="217"/>
    </row>
    <row r="229" spans="1:9" x14ac:dyDescent="0.25">
      <c r="A229" s="217"/>
      <c r="B229" s="217"/>
      <c r="C229" s="217"/>
      <c r="D229" s="217"/>
      <c r="E229" s="217"/>
      <c r="F229" s="217"/>
      <c r="G229" s="217"/>
      <c r="H229" s="217"/>
      <c r="I229" s="217"/>
    </row>
    <row r="230" spans="1:9" x14ac:dyDescent="0.25">
      <c r="A230" s="217"/>
      <c r="B230" s="217"/>
      <c r="C230" s="217"/>
      <c r="D230" s="217"/>
      <c r="E230" s="217"/>
      <c r="F230" s="217"/>
      <c r="G230" s="217"/>
      <c r="H230" s="217"/>
      <c r="I230" s="217"/>
    </row>
    <row r="231" spans="1:9" x14ac:dyDescent="0.25">
      <c r="A231" s="217"/>
      <c r="B231" s="217"/>
      <c r="C231" s="217"/>
      <c r="D231" s="217"/>
      <c r="E231" s="217"/>
      <c r="F231" s="217"/>
      <c r="G231" s="217"/>
      <c r="H231" s="217"/>
      <c r="I231" s="217"/>
    </row>
    <row r="232" spans="1:9" x14ac:dyDescent="0.25">
      <c r="A232" s="217"/>
      <c r="B232" s="217"/>
      <c r="C232" s="217"/>
      <c r="D232" s="217"/>
      <c r="E232" s="217"/>
      <c r="F232" s="217"/>
      <c r="G232" s="217"/>
      <c r="H232" s="217"/>
      <c r="I232" s="217"/>
    </row>
    <row r="233" spans="1:9" x14ac:dyDescent="0.25">
      <c r="A233" s="217"/>
      <c r="B233" s="217"/>
      <c r="C233" s="217"/>
      <c r="D233" s="217"/>
      <c r="E233" s="217"/>
      <c r="F233" s="217"/>
      <c r="G233" s="217"/>
      <c r="H233" s="217"/>
      <c r="I233" s="217"/>
    </row>
    <row r="234" spans="1:9" x14ac:dyDescent="0.25">
      <c r="A234" s="217"/>
      <c r="B234" s="217"/>
      <c r="C234" s="217"/>
      <c r="D234" s="217"/>
      <c r="E234" s="217"/>
      <c r="F234" s="217"/>
      <c r="G234" s="217"/>
      <c r="H234" s="217"/>
      <c r="I234" s="217"/>
    </row>
    <row r="235" spans="1:9" x14ac:dyDescent="0.25">
      <c r="A235" s="217"/>
      <c r="B235" s="217"/>
      <c r="C235" s="217"/>
      <c r="D235" s="217"/>
      <c r="E235" s="217"/>
      <c r="F235" s="217"/>
      <c r="G235" s="217"/>
      <c r="H235" s="217"/>
      <c r="I235" s="217"/>
    </row>
    <row r="236" spans="1:9" x14ac:dyDescent="0.25">
      <c r="A236" s="217"/>
      <c r="B236" s="217"/>
      <c r="C236" s="217"/>
      <c r="D236" s="217"/>
      <c r="E236" s="217"/>
      <c r="F236" s="217"/>
      <c r="G236" s="217"/>
      <c r="H236" s="217"/>
      <c r="I236" s="217"/>
    </row>
    <row r="237" spans="1:9" x14ac:dyDescent="0.25">
      <c r="A237" s="217"/>
      <c r="B237" s="217"/>
      <c r="C237" s="217"/>
      <c r="D237" s="217"/>
      <c r="E237" s="217"/>
      <c r="F237" s="217"/>
      <c r="G237" s="217"/>
      <c r="H237" s="217"/>
      <c r="I237" s="217"/>
    </row>
    <row r="238" spans="1:9" x14ac:dyDescent="0.25">
      <c r="A238" s="217"/>
      <c r="B238" s="217"/>
      <c r="C238" s="217"/>
      <c r="D238" s="217"/>
      <c r="E238" s="217"/>
      <c r="F238" s="217"/>
      <c r="G238" s="217"/>
      <c r="H238" s="217"/>
      <c r="I238" s="217"/>
    </row>
    <row r="239" spans="1:9" x14ac:dyDescent="0.25">
      <c r="A239" s="217"/>
      <c r="B239" s="217"/>
      <c r="C239" s="217"/>
      <c r="D239" s="217"/>
      <c r="E239" s="217"/>
      <c r="F239" s="217"/>
      <c r="G239" s="217"/>
      <c r="H239" s="217"/>
      <c r="I239" s="217"/>
    </row>
    <row r="240" spans="1:9" x14ac:dyDescent="0.25">
      <c r="A240" s="217"/>
      <c r="B240" s="217"/>
      <c r="C240" s="217"/>
      <c r="D240" s="217"/>
      <c r="E240" s="217"/>
      <c r="F240" s="217"/>
      <c r="G240" s="217"/>
      <c r="H240" s="217"/>
      <c r="I240" s="217"/>
    </row>
    <row r="241" spans="1:9" x14ac:dyDescent="0.25">
      <c r="A241" s="217"/>
      <c r="B241" s="217"/>
      <c r="C241" s="217"/>
      <c r="D241" s="217"/>
      <c r="E241" s="217"/>
      <c r="F241" s="217"/>
      <c r="G241" s="217"/>
      <c r="H241" s="217"/>
      <c r="I241" s="217"/>
    </row>
    <row r="242" spans="1:9" x14ac:dyDescent="0.25">
      <c r="A242" s="217"/>
      <c r="B242" s="217"/>
      <c r="C242" s="217"/>
      <c r="D242" s="217"/>
      <c r="E242" s="217"/>
      <c r="F242" s="217"/>
      <c r="G242" s="217"/>
      <c r="H242" s="217"/>
      <c r="I242" s="217"/>
    </row>
    <row r="243" spans="1:9" x14ac:dyDescent="0.25">
      <c r="A243" s="217"/>
      <c r="B243" s="217"/>
      <c r="C243" s="217"/>
      <c r="D243" s="217"/>
      <c r="E243" s="217"/>
      <c r="F243" s="217"/>
      <c r="G243" s="217"/>
      <c r="H243" s="217"/>
      <c r="I243" s="217"/>
    </row>
    <row r="244" spans="1:9" x14ac:dyDescent="0.25">
      <c r="A244" s="217"/>
      <c r="B244" s="217"/>
      <c r="C244" s="217"/>
      <c r="D244" s="217"/>
      <c r="E244" s="217"/>
      <c r="F244" s="217"/>
      <c r="G244" s="217"/>
      <c r="H244" s="217"/>
      <c r="I244" s="217"/>
    </row>
    <row r="245" spans="1:9" x14ac:dyDescent="0.25">
      <c r="A245" s="217"/>
      <c r="B245" s="217"/>
      <c r="C245" s="217"/>
      <c r="D245" s="217"/>
      <c r="E245" s="217"/>
      <c r="F245" s="217"/>
      <c r="G245" s="217"/>
      <c r="H245" s="217"/>
      <c r="I245" s="217"/>
    </row>
    <row r="246" spans="1:9" x14ac:dyDescent="0.25">
      <c r="A246" s="217"/>
      <c r="B246" s="217"/>
      <c r="C246" s="217"/>
      <c r="D246" s="217"/>
      <c r="E246" s="217"/>
      <c r="F246" s="217"/>
      <c r="G246" s="217"/>
      <c r="H246" s="217"/>
      <c r="I246" s="217"/>
    </row>
    <row r="247" spans="1:9" x14ac:dyDescent="0.25">
      <c r="A247" s="217"/>
      <c r="B247" s="217"/>
      <c r="C247" s="217"/>
      <c r="D247" s="217"/>
      <c r="E247" s="217"/>
      <c r="F247" s="217"/>
      <c r="G247" s="217"/>
      <c r="H247" s="217"/>
      <c r="I247" s="217"/>
    </row>
    <row r="248" spans="1:9" x14ac:dyDescent="0.25">
      <c r="A248" s="217"/>
      <c r="B248" s="217"/>
      <c r="C248" s="217"/>
      <c r="D248" s="217"/>
      <c r="E248" s="217"/>
      <c r="F248" s="217"/>
      <c r="G248" s="217"/>
      <c r="H248" s="217"/>
      <c r="I248" s="217"/>
    </row>
    <row r="249" spans="1:9" x14ac:dyDescent="0.25">
      <c r="A249" s="217"/>
      <c r="B249" s="217"/>
      <c r="C249" s="217"/>
      <c r="D249" s="217"/>
      <c r="E249" s="217"/>
      <c r="F249" s="217"/>
      <c r="G249" s="217"/>
      <c r="H249" s="217"/>
      <c r="I249" s="217"/>
    </row>
    <row r="250" spans="1:9" x14ac:dyDescent="0.25">
      <c r="A250" s="217"/>
      <c r="B250" s="217"/>
      <c r="C250" s="217"/>
      <c r="D250" s="217"/>
      <c r="E250" s="217"/>
      <c r="F250" s="217"/>
      <c r="G250" s="217"/>
      <c r="H250" s="217"/>
      <c r="I250" s="217"/>
    </row>
    <row r="251" spans="1:9" x14ac:dyDescent="0.25">
      <c r="A251" s="217"/>
      <c r="B251" s="217"/>
      <c r="C251" s="217"/>
      <c r="D251" s="217"/>
      <c r="E251" s="217"/>
      <c r="F251" s="217"/>
      <c r="G251" s="217"/>
      <c r="H251" s="217"/>
      <c r="I251" s="217"/>
    </row>
    <row r="252" spans="1:9" x14ac:dyDescent="0.25">
      <c r="A252" s="217"/>
      <c r="B252" s="217"/>
      <c r="C252" s="217"/>
      <c r="D252" s="217"/>
      <c r="E252" s="217"/>
      <c r="F252" s="217"/>
      <c r="G252" s="217"/>
      <c r="H252" s="217"/>
      <c r="I252" s="217"/>
    </row>
    <row r="253" spans="1:9" x14ac:dyDescent="0.25">
      <c r="A253" s="217"/>
      <c r="B253" s="217"/>
      <c r="C253" s="217"/>
      <c r="D253" s="217"/>
      <c r="E253" s="217"/>
      <c r="F253" s="217"/>
      <c r="G253" s="217"/>
      <c r="H253" s="217"/>
      <c r="I253" s="217"/>
    </row>
    <row r="254" spans="1:9" x14ac:dyDescent="0.25">
      <c r="A254" s="217"/>
      <c r="B254" s="217"/>
      <c r="C254" s="217"/>
      <c r="D254" s="217"/>
      <c r="E254" s="217"/>
      <c r="F254" s="217"/>
      <c r="G254" s="217"/>
      <c r="H254" s="217"/>
      <c r="I254" s="217"/>
    </row>
    <row r="255" spans="1:9" x14ac:dyDescent="0.25">
      <c r="A255" s="217"/>
      <c r="B255" s="217"/>
      <c r="C255" s="217"/>
      <c r="D255" s="217"/>
      <c r="E255" s="217"/>
      <c r="F255" s="217"/>
      <c r="G255" s="217"/>
      <c r="H255" s="217"/>
      <c r="I255" s="217"/>
    </row>
    <row r="256" spans="1:9" x14ac:dyDescent="0.25">
      <c r="A256" s="217"/>
      <c r="B256" s="217"/>
      <c r="C256" s="217"/>
      <c r="D256" s="217"/>
      <c r="E256" s="217"/>
      <c r="F256" s="217"/>
      <c r="G256" s="217"/>
      <c r="H256" s="217"/>
      <c r="I256" s="217"/>
    </row>
    <row r="257" spans="1:9" x14ac:dyDescent="0.25">
      <c r="A257" s="217"/>
      <c r="B257" s="217"/>
      <c r="C257" s="217"/>
      <c r="D257" s="217"/>
      <c r="E257" s="217"/>
      <c r="F257" s="217"/>
      <c r="G257" s="217"/>
      <c r="H257" s="217"/>
      <c r="I257" s="217"/>
    </row>
    <row r="258" spans="1:9" x14ac:dyDescent="0.25">
      <c r="A258" s="217"/>
      <c r="B258" s="217"/>
      <c r="C258" s="217"/>
      <c r="D258" s="217"/>
      <c r="E258" s="217"/>
      <c r="F258" s="217"/>
      <c r="G258" s="217"/>
      <c r="H258" s="217"/>
      <c r="I258" s="217"/>
    </row>
    <row r="259" spans="1:9" x14ac:dyDescent="0.25">
      <c r="A259" s="217"/>
      <c r="B259" s="217"/>
      <c r="C259" s="217"/>
      <c r="D259" s="217"/>
      <c r="E259" s="217"/>
      <c r="F259" s="217"/>
      <c r="G259" s="217"/>
      <c r="H259" s="217"/>
      <c r="I259" s="217"/>
    </row>
    <row r="260" spans="1:9" x14ac:dyDescent="0.25">
      <c r="A260" s="217"/>
      <c r="B260" s="217"/>
      <c r="C260" s="217"/>
      <c r="D260" s="217"/>
      <c r="E260" s="217"/>
      <c r="F260" s="217"/>
      <c r="G260" s="217"/>
      <c r="H260" s="217"/>
      <c r="I260" s="217"/>
    </row>
    <row r="261" spans="1:9" x14ac:dyDescent="0.25">
      <c r="A261" s="217"/>
      <c r="B261" s="217"/>
      <c r="C261" s="217"/>
      <c r="D261" s="217"/>
      <c r="E261" s="217"/>
      <c r="F261" s="217"/>
      <c r="G261" s="217"/>
      <c r="H261" s="217"/>
      <c r="I261" s="217"/>
    </row>
    <row r="262" spans="1:9" x14ac:dyDescent="0.25">
      <c r="A262" s="217"/>
      <c r="B262" s="217"/>
      <c r="C262" s="217"/>
      <c r="D262" s="217"/>
      <c r="E262" s="217"/>
      <c r="F262" s="217"/>
      <c r="G262" s="217"/>
      <c r="H262" s="217"/>
      <c r="I262" s="217"/>
    </row>
    <row r="263" spans="1:9" x14ac:dyDescent="0.25">
      <c r="A263" s="217"/>
      <c r="B263" s="217"/>
      <c r="C263" s="217"/>
      <c r="D263" s="217"/>
      <c r="E263" s="217"/>
      <c r="F263" s="217"/>
      <c r="G263" s="217"/>
      <c r="H263" s="217"/>
      <c r="I263" s="217"/>
    </row>
    <row r="264" spans="1:9" x14ac:dyDescent="0.25">
      <c r="A264" s="217"/>
      <c r="B264" s="217"/>
      <c r="C264" s="217"/>
      <c r="D264" s="217"/>
      <c r="E264" s="217"/>
      <c r="F264" s="217"/>
      <c r="G264" s="217"/>
      <c r="H264" s="217"/>
      <c r="I264" s="217"/>
    </row>
    <row r="265" spans="1:9" x14ac:dyDescent="0.25">
      <c r="A265" s="217"/>
      <c r="B265" s="217"/>
      <c r="C265" s="217"/>
      <c r="D265" s="217"/>
      <c r="E265" s="217"/>
      <c r="F265" s="217"/>
      <c r="G265" s="217"/>
      <c r="H265" s="217"/>
      <c r="I265" s="217"/>
    </row>
    <row r="266" spans="1:9" x14ac:dyDescent="0.25">
      <c r="A266" s="217"/>
      <c r="B266" s="217"/>
      <c r="C266" s="217"/>
      <c r="D266" s="217"/>
      <c r="E266" s="217"/>
      <c r="F266" s="217"/>
      <c r="G266" s="217"/>
      <c r="H266" s="217"/>
      <c r="I266" s="217"/>
    </row>
    <row r="267" spans="1:9" x14ac:dyDescent="0.25">
      <c r="A267" s="217"/>
      <c r="B267" s="217"/>
      <c r="C267" s="217"/>
      <c r="D267" s="217"/>
      <c r="E267" s="217"/>
      <c r="F267" s="217"/>
      <c r="G267" s="217"/>
      <c r="H267" s="217"/>
      <c r="I267" s="217"/>
    </row>
    <row r="268" spans="1:9" x14ac:dyDescent="0.25">
      <c r="A268" s="217"/>
      <c r="B268" s="217"/>
      <c r="C268" s="217"/>
      <c r="D268" s="217"/>
      <c r="E268" s="217"/>
      <c r="F268" s="217"/>
      <c r="G268" s="217"/>
      <c r="H268" s="217"/>
      <c r="I268" s="217"/>
    </row>
    <row r="269" spans="1:9" x14ac:dyDescent="0.25">
      <c r="A269" s="217"/>
      <c r="B269" s="217"/>
      <c r="C269" s="217"/>
      <c r="D269" s="217"/>
      <c r="E269" s="217"/>
      <c r="F269" s="217"/>
      <c r="G269" s="217"/>
      <c r="H269" s="217"/>
      <c r="I269" s="217"/>
    </row>
    <row r="270" spans="1:9" x14ac:dyDescent="0.25">
      <c r="A270" s="217"/>
      <c r="B270" s="217"/>
      <c r="C270" s="217"/>
      <c r="D270" s="217"/>
      <c r="E270" s="217"/>
      <c r="F270" s="217"/>
      <c r="G270" s="217"/>
      <c r="H270" s="217"/>
      <c r="I270" s="217"/>
    </row>
    <row r="271" spans="1:9" x14ac:dyDescent="0.25">
      <c r="A271" s="217"/>
      <c r="B271" s="217"/>
      <c r="C271" s="217"/>
      <c r="D271" s="217"/>
      <c r="E271" s="217"/>
      <c r="F271" s="217"/>
      <c r="G271" s="217"/>
      <c r="H271" s="217"/>
      <c r="I271" s="217"/>
    </row>
    <row r="272" spans="1:9" x14ac:dyDescent="0.25">
      <c r="A272" s="217"/>
      <c r="B272" s="217"/>
      <c r="C272" s="217"/>
      <c r="D272" s="217"/>
      <c r="E272" s="217"/>
      <c r="F272" s="217"/>
      <c r="G272" s="217"/>
      <c r="H272" s="217"/>
      <c r="I272" s="217"/>
    </row>
    <row r="273" spans="1:9" x14ac:dyDescent="0.25">
      <c r="A273" s="217"/>
      <c r="B273" s="217"/>
      <c r="C273" s="217"/>
      <c r="D273" s="217"/>
      <c r="E273" s="217"/>
      <c r="F273" s="217"/>
      <c r="G273" s="217"/>
      <c r="H273" s="217"/>
      <c r="I273" s="217"/>
    </row>
    <row r="274" spans="1:9" x14ac:dyDescent="0.25">
      <c r="A274" s="217"/>
      <c r="B274" s="217"/>
      <c r="C274" s="217"/>
      <c r="D274" s="217"/>
      <c r="E274" s="217"/>
      <c r="F274" s="217"/>
      <c r="G274" s="217"/>
      <c r="H274" s="217"/>
      <c r="I274" s="217"/>
    </row>
    <row r="275" spans="1:9" x14ac:dyDescent="0.25">
      <c r="A275" s="217"/>
      <c r="B275" s="217"/>
      <c r="C275" s="217"/>
      <c r="D275" s="217"/>
      <c r="E275" s="217"/>
      <c r="F275" s="217"/>
      <c r="G275" s="217"/>
      <c r="H275" s="217"/>
      <c r="I275" s="217"/>
    </row>
    <row r="276" spans="1:9" x14ac:dyDescent="0.25">
      <c r="A276" s="217"/>
      <c r="B276" s="217"/>
      <c r="C276" s="217"/>
      <c r="D276" s="217"/>
      <c r="E276" s="217"/>
      <c r="F276" s="217"/>
      <c r="G276" s="217"/>
      <c r="H276" s="217"/>
      <c r="I276" s="217"/>
    </row>
    <row r="277" spans="1:9" x14ac:dyDescent="0.25">
      <c r="A277" s="217"/>
      <c r="B277" s="217"/>
      <c r="C277" s="217"/>
      <c r="D277" s="217"/>
      <c r="E277" s="217"/>
      <c r="F277" s="217"/>
      <c r="G277" s="217"/>
      <c r="H277" s="217"/>
      <c r="I277" s="217"/>
    </row>
    <row r="278" spans="1:9" x14ac:dyDescent="0.25">
      <c r="A278" s="217"/>
      <c r="B278" s="217"/>
      <c r="C278" s="217"/>
      <c r="D278" s="217"/>
      <c r="E278" s="217"/>
      <c r="F278" s="217"/>
      <c r="G278" s="217"/>
      <c r="H278" s="217"/>
      <c r="I278" s="217"/>
    </row>
    <row r="279" spans="1:9" x14ac:dyDescent="0.25">
      <c r="A279" s="217"/>
      <c r="B279" s="217"/>
      <c r="C279" s="217"/>
      <c r="D279" s="217"/>
      <c r="E279" s="217"/>
      <c r="F279" s="217"/>
      <c r="G279" s="217"/>
      <c r="H279" s="217"/>
      <c r="I279" s="217"/>
    </row>
    <row r="280" spans="1:9" x14ac:dyDescent="0.25">
      <c r="A280" s="217"/>
      <c r="B280" s="217"/>
      <c r="C280" s="217"/>
      <c r="D280" s="217"/>
      <c r="E280" s="217"/>
      <c r="F280" s="217"/>
      <c r="G280" s="217"/>
      <c r="H280" s="217"/>
      <c r="I280" s="217"/>
    </row>
    <row r="281" spans="1:9" x14ac:dyDescent="0.25">
      <c r="A281" s="217"/>
      <c r="B281" s="217"/>
      <c r="C281" s="217"/>
      <c r="D281" s="217"/>
      <c r="E281" s="217"/>
      <c r="F281" s="217"/>
      <c r="G281" s="217"/>
      <c r="H281" s="217"/>
      <c r="I281" s="217"/>
    </row>
    <row r="282" spans="1:9" x14ac:dyDescent="0.25">
      <c r="A282" s="217"/>
      <c r="B282" s="217"/>
      <c r="C282" s="217"/>
      <c r="D282" s="217"/>
      <c r="E282" s="217"/>
      <c r="F282" s="217"/>
      <c r="G282" s="217"/>
      <c r="H282" s="217"/>
      <c r="I282" s="217"/>
    </row>
    <row r="283" spans="1:9" x14ac:dyDescent="0.25">
      <c r="A283" s="217"/>
      <c r="B283" s="217"/>
      <c r="C283" s="217"/>
      <c r="D283" s="217"/>
      <c r="E283" s="217"/>
      <c r="F283" s="217"/>
      <c r="G283" s="217"/>
      <c r="H283" s="217"/>
      <c r="I283" s="217"/>
    </row>
    <row r="284" spans="1:9" x14ac:dyDescent="0.25">
      <c r="A284" s="217"/>
      <c r="B284" s="217"/>
      <c r="C284" s="217"/>
      <c r="D284" s="217"/>
      <c r="E284" s="217"/>
      <c r="F284" s="217"/>
      <c r="G284" s="217"/>
      <c r="H284" s="217"/>
      <c r="I284" s="217"/>
    </row>
    <row r="285" spans="1:9" x14ac:dyDescent="0.25">
      <c r="A285" s="217"/>
      <c r="B285" s="217"/>
      <c r="C285" s="217"/>
      <c r="D285" s="217"/>
      <c r="E285" s="217"/>
      <c r="F285" s="217"/>
      <c r="G285" s="217"/>
      <c r="H285" s="217"/>
      <c r="I285" s="217"/>
    </row>
    <row r="286" spans="1:9" x14ac:dyDescent="0.25">
      <c r="A286" s="217"/>
      <c r="B286" s="217"/>
      <c r="C286" s="217"/>
      <c r="D286" s="217"/>
      <c r="E286" s="217"/>
      <c r="F286" s="217"/>
      <c r="G286" s="217"/>
      <c r="H286" s="217"/>
      <c r="I286" s="217"/>
    </row>
    <row r="287" spans="1:9" x14ac:dyDescent="0.25">
      <c r="A287" s="217"/>
      <c r="B287" s="217"/>
      <c r="C287" s="217"/>
      <c r="D287" s="217"/>
      <c r="E287" s="217"/>
      <c r="F287" s="217"/>
      <c r="G287" s="217"/>
      <c r="H287" s="217"/>
      <c r="I287" s="217"/>
    </row>
    <row r="288" spans="1:9" x14ac:dyDescent="0.25">
      <c r="A288" s="217"/>
      <c r="B288" s="217"/>
      <c r="C288" s="217"/>
      <c r="D288" s="217"/>
      <c r="E288" s="217"/>
      <c r="F288" s="217"/>
      <c r="G288" s="217"/>
      <c r="H288" s="217"/>
      <c r="I288" s="217"/>
    </row>
    <row r="289" spans="1:9" x14ac:dyDescent="0.25">
      <c r="A289" s="217"/>
      <c r="B289" s="217"/>
      <c r="C289" s="217"/>
      <c r="D289" s="217"/>
      <c r="E289" s="217"/>
      <c r="F289" s="217"/>
      <c r="G289" s="217"/>
      <c r="H289" s="217"/>
      <c r="I289" s="217"/>
    </row>
    <row r="290" spans="1:9" x14ac:dyDescent="0.25">
      <c r="A290" s="217"/>
      <c r="B290" s="217"/>
      <c r="C290" s="217"/>
      <c r="D290" s="217"/>
      <c r="E290" s="217"/>
      <c r="F290" s="217"/>
      <c r="G290" s="217"/>
      <c r="H290" s="217"/>
      <c r="I290" s="217"/>
    </row>
    <row r="291" spans="1:9" x14ac:dyDescent="0.25">
      <c r="A291" s="217"/>
      <c r="B291" s="217"/>
      <c r="C291" s="217"/>
      <c r="D291" s="217"/>
      <c r="E291" s="217"/>
      <c r="F291" s="217"/>
      <c r="G291" s="217"/>
      <c r="H291" s="217"/>
      <c r="I291" s="217"/>
    </row>
    <row r="292" spans="1:9" x14ac:dyDescent="0.25">
      <c r="A292" s="217"/>
      <c r="B292" s="217"/>
      <c r="C292" s="217"/>
      <c r="D292" s="217"/>
      <c r="E292" s="217"/>
      <c r="F292" s="217"/>
      <c r="G292" s="217"/>
      <c r="H292" s="217"/>
      <c r="I292" s="217"/>
    </row>
    <row r="293" spans="1:9" x14ac:dyDescent="0.25">
      <c r="A293" s="217"/>
      <c r="B293" s="217"/>
      <c r="C293" s="217"/>
      <c r="D293" s="217"/>
      <c r="E293" s="217"/>
      <c r="F293" s="217"/>
      <c r="G293" s="217"/>
      <c r="H293" s="217"/>
      <c r="I293" s="217"/>
    </row>
    <row r="294" spans="1:9" x14ac:dyDescent="0.25">
      <c r="A294" s="217"/>
      <c r="B294" s="217"/>
      <c r="C294" s="217"/>
      <c r="D294" s="217"/>
      <c r="E294" s="217"/>
      <c r="F294" s="217"/>
      <c r="G294" s="217"/>
      <c r="H294" s="217"/>
      <c r="I294" s="217"/>
    </row>
    <row r="295" spans="1:9" x14ac:dyDescent="0.25">
      <c r="A295" s="217"/>
      <c r="B295" s="217"/>
      <c r="C295" s="217"/>
      <c r="D295" s="217"/>
      <c r="E295" s="217"/>
      <c r="F295" s="217"/>
      <c r="G295" s="217"/>
      <c r="H295" s="217"/>
      <c r="I295" s="217"/>
    </row>
    <row r="296" spans="1:9" x14ac:dyDescent="0.25">
      <c r="A296" s="217"/>
      <c r="B296" s="217"/>
      <c r="C296" s="217"/>
      <c r="D296" s="217"/>
      <c r="E296" s="217"/>
      <c r="F296" s="217"/>
      <c r="G296" s="217"/>
      <c r="H296" s="217"/>
      <c r="I296" s="217"/>
    </row>
    <row r="297" spans="1:9" x14ac:dyDescent="0.25">
      <c r="A297" s="217"/>
      <c r="B297" s="217"/>
      <c r="C297" s="217"/>
      <c r="D297" s="217"/>
      <c r="E297" s="217"/>
      <c r="F297" s="217"/>
      <c r="G297" s="217"/>
      <c r="H297" s="217"/>
      <c r="I297" s="217"/>
    </row>
    <row r="298" spans="1:9" x14ac:dyDescent="0.25">
      <c r="A298" s="217"/>
      <c r="B298" s="217"/>
      <c r="C298" s="217"/>
      <c r="D298" s="217"/>
      <c r="E298" s="217"/>
      <c r="F298" s="217"/>
      <c r="G298" s="217"/>
      <c r="H298" s="217"/>
      <c r="I298" s="217"/>
    </row>
    <row r="299" spans="1:9" x14ac:dyDescent="0.25">
      <c r="A299" s="217"/>
      <c r="B299" s="217"/>
      <c r="C299" s="217"/>
      <c r="D299" s="217"/>
      <c r="E299" s="217"/>
      <c r="F299" s="217"/>
      <c r="G299" s="217"/>
      <c r="H299" s="217"/>
      <c r="I299" s="217"/>
    </row>
    <row r="300" spans="1:9" x14ac:dyDescent="0.25">
      <c r="A300" s="217"/>
      <c r="B300" s="217"/>
      <c r="C300" s="217"/>
      <c r="D300" s="217"/>
      <c r="E300" s="217"/>
      <c r="F300" s="217"/>
      <c r="G300" s="217"/>
      <c r="H300" s="217"/>
      <c r="I300" s="217"/>
    </row>
    <row r="301" spans="1:9" x14ac:dyDescent="0.25">
      <c r="A301" s="217"/>
      <c r="B301" s="217"/>
      <c r="C301" s="217"/>
      <c r="D301" s="217"/>
      <c r="E301" s="217"/>
      <c r="F301" s="217"/>
      <c r="G301" s="217"/>
      <c r="H301" s="217"/>
      <c r="I301" s="217"/>
    </row>
    <row r="302" spans="1:9" x14ac:dyDescent="0.25">
      <c r="A302" s="217"/>
      <c r="B302" s="217"/>
      <c r="C302" s="217"/>
      <c r="D302" s="217"/>
      <c r="E302" s="217"/>
      <c r="F302" s="217"/>
      <c r="G302" s="217"/>
      <c r="H302" s="217"/>
      <c r="I302" s="217"/>
    </row>
    <row r="303" spans="1:9" x14ac:dyDescent="0.25">
      <c r="A303" s="217"/>
      <c r="B303" s="217"/>
      <c r="C303" s="217"/>
      <c r="D303" s="217"/>
      <c r="E303" s="217"/>
      <c r="F303" s="217"/>
      <c r="G303" s="217"/>
      <c r="H303" s="217"/>
      <c r="I303" s="217"/>
    </row>
    <row r="304" spans="1:9" x14ac:dyDescent="0.25">
      <c r="A304" s="217"/>
      <c r="B304" s="217"/>
      <c r="C304" s="217"/>
      <c r="D304" s="217"/>
      <c r="E304" s="217"/>
      <c r="F304" s="217"/>
      <c r="G304" s="217"/>
      <c r="H304" s="217"/>
      <c r="I304" s="217"/>
    </row>
    <row r="305" spans="1:9" x14ac:dyDescent="0.25">
      <c r="A305" s="217"/>
      <c r="B305" s="217"/>
      <c r="C305" s="217"/>
      <c r="D305" s="217"/>
      <c r="E305" s="217"/>
      <c r="F305" s="217"/>
      <c r="G305" s="217"/>
      <c r="H305" s="217"/>
      <c r="I305" s="217"/>
    </row>
    <row r="306" spans="1:9" x14ac:dyDescent="0.25">
      <c r="A306" s="217"/>
      <c r="B306" s="217"/>
      <c r="C306" s="217"/>
      <c r="D306" s="217"/>
      <c r="E306" s="217"/>
      <c r="F306" s="217"/>
      <c r="G306" s="217"/>
      <c r="H306" s="217"/>
      <c r="I306" s="217"/>
    </row>
    <row r="307" spans="1:9" x14ac:dyDescent="0.25">
      <c r="A307" s="217"/>
      <c r="B307" s="217"/>
      <c r="C307" s="217"/>
      <c r="D307" s="217"/>
      <c r="E307" s="217"/>
      <c r="F307" s="217"/>
      <c r="G307" s="217"/>
      <c r="H307" s="217"/>
      <c r="I307" s="217"/>
    </row>
    <row r="308" spans="1:9" x14ac:dyDescent="0.25">
      <c r="A308" s="217"/>
      <c r="B308" s="217"/>
      <c r="C308" s="217"/>
      <c r="D308" s="217"/>
      <c r="E308" s="217"/>
      <c r="F308" s="217"/>
      <c r="G308" s="217"/>
      <c r="H308" s="217"/>
      <c r="I308" s="217"/>
    </row>
    <row r="309" spans="1:9" x14ac:dyDescent="0.25">
      <c r="A309" s="217"/>
      <c r="B309" s="217"/>
      <c r="C309" s="217"/>
      <c r="D309" s="217"/>
      <c r="E309" s="217"/>
      <c r="F309" s="217"/>
      <c r="G309" s="217"/>
      <c r="H309" s="217"/>
      <c r="I309" s="217"/>
    </row>
    <row r="310" spans="1:9" x14ac:dyDescent="0.25">
      <c r="A310" s="217"/>
      <c r="B310" s="217"/>
      <c r="C310" s="217"/>
      <c r="D310" s="217"/>
      <c r="E310" s="217"/>
      <c r="F310" s="217"/>
      <c r="G310" s="217"/>
      <c r="H310" s="217"/>
      <c r="I310" s="217"/>
    </row>
    <row r="311" spans="1:9" x14ac:dyDescent="0.25">
      <c r="A311" s="217"/>
      <c r="B311" s="217"/>
      <c r="C311" s="217"/>
      <c r="D311" s="217"/>
      <c r="E311" s="217"/>
      <c r="F311" s="217"/>
      <c r="G311" s="217"/>
      <c r="H311" s="217"/>
      <c r="I311" s="217"/>
    </row>
    <row r="312" spans="1:9" x14ac:dyDescent="0.25">
      <c r="A312" s="217"/>
      <c r="B312" s="217"/>
      <c r="C312" s="217"/>
      <c r="D312" s="217"/>
      <c r="E312" s="217"/>
      <c r="F312" s="217"/>
      <c r="G312" s="217"/>
      <c r="H312" s="217"/>
      <c r="I312" s="217"/>
    </row>
    <row r="313" spans="1:9" x14ac:dyDescent="0.25">
      <c r="A313" s="217"/>
      <c r="B313" s="217"/>
      <c r="C313" s="217"/>
      <c r="D313" s="217"/>
      <c r="E313" s="217"/>
      <c r="F313" s="217"/>
      <c r="G313" s="217"/>
      <c r="H313" s="217"/>
      <c r="I313" s="217"/>
    </row>
    <row r="314" spans="1:9" x14ac:dyDescent="0.25">
      <c r="A314" s="217"/>
      <c r="B314" s="217"/>
      <c r="C314" s="217"/>
      <c r="D314" s="217"/>
      <c r="E314" s="217"/>
      <c r="F314" s="217"/>
      <c r="G314" s="217"/>
      <c r="H314" s="217"/>
      <c r="I314" s="217"/>
    </row>
    <row r="315" spans="1:9" x14ac:dyDescent="0.25">
      <c r="A315" s="217"/>
      <c r="B315" s="217"/>
      <c r="C315" s="217"/>
      <c r="D315" s="217"/>
      <c r="E315" s="217"/>
      <c r="F315" s="217"/>
      <c r="G315" s="217"/>
      <c r="H315" s="217"/>
      <c r="I315" s="217"/>
    </row>
    <row r="316" spans="1:9" x14ac:dyDescent="0.25">
      <c r="A316" s="217"/>
      <c r="B316" s="217"/>
      <c r="C316" s="217"/>
      <c r="D316" s="217"/>
      <c r="E316" s="217"/>
      <c r="F316" s="217"/>
      <c r="G316" s="217"/>
      <c r="H316" s="217"/>
      <c r="I316" s="217"/>
    </row>
    <row r="317" spans="1:9" x14ac:dyDescent="0.25">
      <c r="A317" s="217"/>
      <c r="B317" s="217"/>
      <c r="C317" s="217"/>
      <c r="D317" s="217"/>
      <c r="E317" s="217"/>
      <c r="F317" s="217"/>
      <c r="G317" s="217"/>
      <c r="H317" s="217"/>
      <c r="I317" s="217"/>
    </row>
    <row r="318" spans="1:9" x14ac:dyDescent="0.25">
      <c r="A318" s="217"/>
      <c r="B318" s="217"/>
      <c r="C318" s="217"/>
      <c r="D318" s="217"/>
      <c r="E318" s="217"/>
      <c r="F318" s="217"/>
      <c r="G318" s="217"/>
      <c r="H318" s="217"/>
      <c r="I318" s="217"/>
    </row>
    <row r="319" spans="1:9" x14ac:dyDescent="0.25">
      <c r="A319" s="217"/>
      <c r="B319" s="217"/>
      <c r="C319" s="217"/>
      <c r="D319" s="217"/>
      <c r="E319" s="217"/>
      <c r="F319" s="217"/>
      <c r="G319" s="217"/>
      <c r="H319" s="217"/>
      <c r="I319" s="217"/>
    </row>
    <row r="320" spans="1:9" x14ac:dyDescent="0.25">
      <c r="A320" s="217"/>
      <c r="B320" s="217"/>
      <c r="C320" s="217"/>
      <c r="D320" s="217"/>
      <c r="E320" s="217"/>
      <c r="F320" s="217"/>
      <c r="G320" s="217"/>
      <c r="H320" s="217"/>
      <c r="I320" s="217"/>
    </row>
    <row r="321" spans="1:9" x14ac:dyDescent="0.25">
      <c r="A321" s="217"/>
      <c r="B321" s="217"/>
      <c r="C321" s="217"/>
      <c r="D321" s="217"/>
      <c r="E321" s="217"/>
      <c r="F321" s="217"/>
      <c r="G321" s="217"/>
      <c r="H321" s="217"/>
      <c r="I321" s="217"/>
    </row>
    <row r="322" spans="1:9" x14ac:dyDescent="0.25">
      <c r="A322" s="217"/>
      <c r="B322" s="217"/>
      <c r="C322" s="217"/>
      <c r="D322" s="217"/>
      <c r="E322" s="217"/>
      <c r="F322" s="217"/>
      <c r="G322" s="217"/>
      <c r="H322" s="217"/>
      <c r="I322" s="217"/>
    </row>
    <row r="323" spans="1:9" x14ac:dyDescent="0.25">
      <c r="A323" s="217"/>
      <c r="B323" s="217"/>
      <c r="C323" s="217"/>
      <c r="D323" s="217"/>
      <c r="E323" s="217"/>
      <c r="F323" s="217"/>
      <c r="G323" s="217"/>
      <c r="H323" s="217"/>
      <c r="I323" s="217"/>
    </row>
    <row r="324" spans="1:9" x14ac:dyDescent="0.25">
      <c r="A324" s="217"/>
      <c r="B324" s="217"/>
      <c r="C324" s="217"/>
      <c r="D324" s="217"/>
      <c r="E324" s="217"/>
      <c r="F324" s="217"/>
      <c r="G324" s="217"/>
      <c r="H324" s="217"/>
      <c r="I324" s="217"/>
    </row>
    <row r="325" spans="1:9" x14ac:dyDescent="0.25">
      <c r="A325" s="217"/>
      <c r="B325" s="217"/>
      <c r="C325" s="217"/>
      <c r="D325" s="217"/>
      <c r="E325" s="217"/>
      <c r="F325" s="217"/>
      <c r="G325" s="217"/>
      <c r="H325" s="217"/>
      <c r="I325" s="217"/>
    </row>
    <row r="326" spans="1:9" x14ac:dyDescent="0.25">
      <c r="A326" s="217"/>
      <c r="B326" s="217"/>
      <c r="C326" s="217"/>
      <c r="D326" s="217"/>
      <c r="E326" s="217"/>
      <c r="F326" s="217"/>
      <c r="G326" s="217"/>
      <c r="H326" s="217"/>
      <c r="I326" s="217"/>
    </row>
    <row r="327" spans="1:9" x14ac:dyDescent="0.25">
      <c r="A327" s="217"/>
      <c r="B327" s="217"/>
      <c r="C327" s="217"/>
      <c r="D327" s="217"/>
      <c r="E327" s="217"/>
      <c r="F327" s="217"/>
      <c r="G327" s="217"/>
      <c r="H327" s="217"/>
      <c r="I327" s="217"/>
    </row>
    <row r="328" spans="1:9" x14ac:dyDescent="0.25">
      <c r="A328" s="217"/>
      <c r="B328" s="217"/>
      <c r="C328" s="217"/>
      <c r="D328" s="217"/>
      <c r="E328" s="217"/>
      <c r="F328" s="217"/>
      <c r="G328" s="217"/>
      <c r="H328" s="217"/>
      <c r="I328" s="217"/>
    </row>
    <row r="329" spans="1:9" x14ac:dyDescent="0.25">
      <c r="A329" s="217"/>
      <c r="B329" s="217"/>
      <c r="C329" s="217"/>
      <c r="D329" s="217"/>
      <c r="E329" s="217"/>
      <c r="F329" s="217"/>
      <c r="G329" s="217"/>
      <c r="H329" s="217"/>
      <c r="I329" s="217"/>
    </row>
    <row r="330" spans="1:9" x14ac:dyDescent="0.25">
      <c r="A330" s="217"/>
      <c r="B330" s="217"/>
      <c r="C330" s="217"/>
      <c r="D330" s="217"/>
      <c r="E330" s="217"/>
      <c r="F330" s="217"/>
      <c r="G330" s="217"/>
      <c r="H330" s="217"/>
      <c r="I330" s="217"/>
    </row>
    <row r="331" spans="1:9" x14ac:dyDescent="0.25">
      <c r="A331" s="217"/>
      <c r="B331" s="217"/>
      <c r="C331" s="217"/>
      <c r="D331" s="217"/>
      <c r="E331" s="217"/>
      <c r="F331" s="217"/>
      <c r="G331" s="217"/>
      <c r="H331" s="217"/>
      <c r="I331" s="217"/>
    </row>
    <row r="332" spans="1:9" x14ac:dyDescent="0.25">
      <c r="A332" s="217"/>
      <c r="B332" s="217"/>
      <c r="C332" s="217"/>
      <c r="D332" s="217"/>
      <c r="E332" s="217"/>
      <c r="F332" s="217"/>
      <c r="G332" s="217"/>
      <c r="H332" s="217"/>
      <c r="I332" s="217"/>
    </row>
    <row r="333" spans="1:9" x14ac:dyDescent="0.25">
      <c r="A333" s="217"/>
      <c r="B333" s="217"/>
      <c r="C333" s="217"/>
      <c r="D333" s="217"/>
      <c r="E333" s="217"/>
      <c r="F333" s="217"/>
      <c r="G333" s="217"/>
      <c r="H333" s="217"/>
      <c r="I333" s="217"/>
    </row>
    <row r="334" spans="1:9" x14ac:dyDescent="0.25">
      <c r="A334" s="217"/>
      <c r="B334" s="217"/>
      <c r="C334" s="217"/>
      <c r="D334" s="217"/>
      <c r="E334" s="217"/>
      <c r="F334" s="217"/>
      <c r="G334" s="217"/>
      <c r="H334" s="217"/>
      <c r="I334" s="217"/>
    </row>
    <row r="335" spans="1:9" x14ac:dyDescent="0.25">
      <c r="A335" s="217"/>
      <c r="B335" s="217"/>
      <c r="C335" s="217"/>
      <c r="D335" s="217"/>
      <c r="E335" s="217"/>
      <c r="F335" s="217"/>
      <c r="G335" s="217"/>
      <c r="H335" s="217"/>
      <c r="I335" s="217"/>
    </row>
    <row r="336" spans="1:9" x14ac:dyDescent="0.25">
      <c r="A336" s="217"/>
      <c r="B336" s="217"/>
      <c r="C336" s="217"/>
      <c r="D336" s="217"/>
      <c r="E336" s="217"/>
      <c r="F336" s="217"/>
      <c r="G336" s="217"/>
      <c r="H336" s="217"/>
      <c r="I336" s="217"/>
    </row>
    <row r="337" spans="1:9" x14ac:dyDescent="0.25">
      <c r="A337" s="217"/>
      <c r="B337" s="217"/>
      <c r="C337" s="217"/>
      <c r="D337" s="217"/>
      <c r="E337" s="217"/>
      <c r="F337" s="217"/>
      <c r="G337" s="217"/>
      <c r="H337" s="217"/>
      <c r="I337" s="217"/>
    </row>
    <row r="338" spans="1:9" x14ac:dyDescent="0.25">
      <c r="A338" s="217"/>
      <c r="B338" s="217"/>
      <c r="C338" s="217"/>
      <c r="D338" s="217"/>
      <c r="E338" s="217"/>
      <c r="F338" s="217"/>
      <c r="G338" s="217"/>
      <c r="H338" s="217"/>
      <c r="I338" s="217"/>
    </row>
    <row r="339" spans="1:9" x14ac:dyDescent="0.25">
      <c r="A339" s="217"/>
      <c r="B339" s="217"/>
      <c r="C339" s="217"/>
      <c r="D339" s="217"/>
      <c r="E339" s="217"/>
      <c r="F339" s="217"/>
      <c r="G339" s="217"/>
      <c r="H339" s="217"/>
      <c r="I339" s="217"/>
    </row>
    <row r="340" spans="1:9" x14ac:dyDescent="0.25">
      <c r="A340" s="217"/>
      <c r="B340" s="217"/>
      <c r="C340" s="217"/>
      <c r="D340" s="217"/>
      <c r="E340" s="217"/>
      <c r="F340" s="217"/>
      <c r="G340" s="217"/>
      <c r="H340" s="217"/>
      <c r="I340" s="217"/>
    </row>
    <row r="341" spans="1:9" x14ac:dyDescent="0.25">
      <c r="A341" s="217"/>
      <c r="B341" s="217"/>
      <c r="C341" s="217"/>
      <c r="D341" s="217"/>
      <c r="E341" s="217"/>
      <c r="F341" s="217"/>
      <c r="G341" s="217"/>
      <c r="H341" s="217"/>
      <c r="I341" s="217"/>
    </row>
    <row r="342" spans="1:9" x14ac:dyDescent="0.25">
      <c r="A342" s="217"/>
      <c r="B342" s="217"/>
      <c r="C342" s="217"/>
      <c r="D342" s="217"/>
      <c r="E342" s="217"/>
      <c r="F342" s="217"/>
      <c r="G342" s="217"/>
      <c r="H342" s="217"/>
      <c r="I342" s="217"/>
    </row>
    <row r="343" spans="1:9" x14ac:dyDescent="0.25">
      <c r="A343" s="217"/>
      <c r="B343" s="217"/>
      <c r="C343" s="217"/>
      <c r="D343" s="217"/>
      <c r="E343" s="217"/>
      <c r="F343" s="217"/>
      <c r="G343" s="217"/>
      <c r="H343" s="217"/>
      <c r="I343" s="217"/>
    </row>
    <row r="344" spans="1:9" x14ac:dyDescent="0.25">
      <c r="A344" s="217"/>
      <c r="B344" s="217"/>
      <c r="C344" s="217"/>
      <c r="D344" s="217"/>
      <c r="E344" s="217"/>
      <c r="F344" s="217"/>
      <c r="G344" s="217"/>
      <c r="H344" s="217"/>
      <c r="I344" s="217"/>
    </row>
    <row r="345" spans="1:9" x14ac:dyDescent="0.25">
      <c r="A345" s="217"/>
      <c r="B345" s="217"/>
      <c r="C345" s="217"/>
      <c r="D345" s="217"/>
      <c r="E345" s="217"/>
      <c r="F345" s="217"/>
      <c r="G345" s="217"/>
      <c r="H345" s="217"/>
      <c r="I345" s="217"/>
    </row>
    <row r="346" spans="1:9" x14ac:dyDescent="0.25">
      <c r="A346" s="217"/>
      <c r="B346" s="217"/>
      <c r="C346" s="217"/>
      <c r="D346" s="217"/>
      <c r="E346" s="217"/>
      <c r="F346" s="217"/>
      <c r="G346" s="217"/>
      <c r="H346" s="217"/>
      <c r="I346" s="217"/>
    </row>
    <row r="347" spans="1:9" x14ac:dyDescent="0.25">
      <c r="A347" s="217"/>
      <c r="B347" s="217"/>
      <c r="C347" s="217"/>
      <c r="D347" s="217"/>
      <c r="E347" s="217"/>
      <c r="F347" s="217"/>
      <c r="G347" s="217"/>
      <c r="H347" s="217"/>
      <c r="I347" s="217"/>
    </row>
    <row r="348" spans="1:9" x14ac:dyDescent="0.25">
      <c r="A348" s="217"/>
      <c r="B348" s="217"/>
      <c r="C348" s="217"/>
      <c r="D348" s="217"/>
      <c r="E348" s="217"/>
      <c r="F348" s="217"/>
      <c r="G348" s="217"/>
      <c r="H348" s="217"/>
      <c r="I348" s="217"/>
    </row>
    <row r="349" spans="1:9" x14ac:dyDescent="0.25">
      <c r="A349" s="217"/>
      <c r="B349" s="217"/>
      <c r="C349" s="217"/>
      <c r="D349" s="217"/>
      <c r="E349" s="217"/>
      <c r="F349" s="217"/>
      <c r="G349" s="217"/>
      <c r="H349" s="217"/>
      <c r="I349" s="217"/>
    </row>
    <row r="350" spans="1:9" x14ac:dyDescent="0.25">
      <c r="A350" s="217"/>
      <c r="B350" s="217"/>
      <c r="C350" s="217"/>
      <c r="D350" s="217"/>
      <c r="E350" s="217"/>
      <c r="F350" s="217"/>
      <c r="G350" s="217"/>
      <c r="H350" s="217"/>
      <c r="I350" s="217"/>
    </row>
    <row r="351" spans="1:9" x14ac:dyDescent="0.25">
      <c r="A351" s="217"/>
      <c r="B351" s="217"/>
      <c r="C351" s="217"/>
      <c r="D351" s="217"/>
      <c r="E351" s="217"/>
      <c r="F351" s="217"/>
      <c r="G351" s="217"/>
      <c r="H351" s="217"/>
      <c r="I351" s="2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3" zoomScaleNormal="100" zoomScaleSheetLayoutView="100" workbookViewId="0">
      <selection activeCell="V28" sqref="V28"/>
    </sheetView>
  </sheetViews>
  <sheetFormatPr defaultRowHeight="12.5" x14ac:dyDescent="0.25"/>
  <cols>
    <col min="4" max="4" width="9.26953125" bestFit="1" customWidth="1"/>
    <col min="6" max="6" width="8.26953125" bestFit="1" customWidth="1"/>
    <col min="7" max="7" width="11.1796875" customWidth="1"/>
    <col min="8" max="8" width="4" customWidth="1"/>
    <col min="9" max="9" width="8.1796875" hidden="1" customWidth="1"/>
    <col min="10" max="10" width="9.1796875" customWidth="1"/>
    <col min="11" max="11" width="7.54296875" customWidth="1"/>
    <col min="12" max="12" width="6.81640625" customWidth="1"/>
    <col min="13" max="13" width="7.26953125" customWidth="1"/>
    <col min="14" max="15" width="8.54296875" customWidth="1"/>
    <col min="17" max="17" width="6.26953125" customWidth="1"/>
    <col min="18" max="18" width="7" customWidth="1"/>
    <col min="19" max="19" width="5.81640625" customWidth="1"/>
    <col min="20" max="20" width="6.7265625" customWidth="1"/>
    <col min="21" max="21" width="7.1796875" customWidth="1"/>
    <col min="22" max="22" width="7" customWidth="1"/>
  </cols>
  <sheetData>
    <row r="1" spans="1:37" ht="14" x14ac:dyDescent="0.3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" x14ac:dyDescent="0.3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ht="13" x14ac:dyDescent="0.3">
      <c r="D3" s="6"/>
      <c r="AG3" s="34"/>
      <c r="AH3" s="34"/>
      <c r="AI3" s="34"/>
      <c r="AJ3" s="34"/>
      <c r="AK3" s="34"/>
    </row>
    <row r="4" spans="1:37" ht="13" x14ac:dyDescent="0.3">
      <c r="D4" s="9"/>
      <c r="AG4" s="34"/>
      <c r="AH4" s="34"/>
      <c r="AI4" s="34"/>
      <c r="AJ4" s="34"/>
      <c r="AK4" s="34"/>
    </row>
    <row r="5" spans="1:37" x14ac:dyDescent="0.25">
      <c r="AG5" s="34"/>
      <c r="AH5" s="34"/>
      <c r="AI5" s="34"/>
      <c r="AJ5" s="34"/>
      <c r="AK5" s="34"/>
    </row>
    <row r="6" spans="1:37" x14ac:dyDescent="0.25">
      <c r="AG6" s="34"/>
      <c r="AH6" s="34"/>
      <c r="AI6" s="34"/>
      <c r="AJ6" s="34"/>
      <c r="AK6" s="34"/>
    </row>
    <row r="7" spans="1:37" ht="13" x14ac:dyDescent="0.25">
      <c r="J7" s="84"/>
      <c r="K7" s="263"/>
      <c r="L7" s="263"/>
      <c r="M7" s="263"/>
      <c r="N7" s="263"/>
      <c r="O7" s="263"/>
      <c r="P7" s="264"/>
      <c r="Q7" s="264"/>
      <c r="R7" s="264"/>
      <c r="S7" s="85"/>
      <c r="T7" s="260"/>
      <c r="U7" s="265"/>
      <c r="V7" s="265"/>
      <c r="AG7" s="34"/>
      <c r="AH7" s="34"/>
      <c r="AI7" s="34"/>
      <c r="AJ7" s="34"/>
      <c r="AK7" s="34"/>
    </row>
    <row r="8" spans="1:37" ht="12.75" customHeight="1" x14ac:dyDescent="0.25">
      <c r="A8" s="84" t="s">
        <v>93</v>
      </c>
      <c r="B8" s="249" t="s">
        <v>142</v>
      </c>
      <c r="C8" s="249"/>
      <c r="D8" s="249"/>
      <c r="E8" s="249"/>
      <c r="F8" s="260" t="s">
        <v>45</v>
      </c>
      <c r="G8" s="262" t="s">
        <v>144</v>
      </c>
      <c r="H8" s="262"/>
      <c r="I8" s="262"/>
      <c r="J8" s="84"/>
      <c r="K8" s="263"/>
      <c r="L8" s="263"/>
      <c r="M8" s="263"/>
      <c r="N8" s="263"/>
      <c r="O8" s="263"/>
      <c r="P8" s="264"/>
      <c r="Q8" s="264"/>
      <c r="R8" s="264"/>
      <c r="S8" s="85"/>
      <c r="T8" s="266"/>
      <c r="U8" s="266"/>
      <c r="V8" s="265"/>
      <c r="AG8" s="34"/>
      <c r="AH8" s="34"/>
      <c r="AI8" s="34"/>
      <c r="AJ8" s="34"/>
      <c r="AK8" s="34"/>
    </row>
    <row r="9" spans="1:37" ht="13" x14ac:dyDescent="0.25">
      <c r="A9" s="90" t="s">
        <v>96</v>
      </c>
      <c r="B9" s="95" t="s">
        <v>143</v>
      </c>
      <c r="C9" s="95"/>
      <c r="D9" s="95"/>
      <c r="E9" s="95"/>
      <c r="F9" s="260"/>
      <c r="G9" s="262"/>
      <c r="H9" s="262"/>
      <c r="I9" s="262"/>
      <c r="J9" s="84"/>
      <c r="K9" s="263"/>
      <c r="L9" s="263"/>
      <c r="M9" s="263"/>
      <c r="N9" s="263"/>
      <c r="O9" s="263"/>
      <c r="P9" s="263"/>
      <c r="Q9" s="263"/>
      <c r="R9" s="263"/>
      <c r="S9" s="85"/>
      <c r="T9" s="87"/>
      <c r="U9" s="266"/>
      <c r="V9" s="265"/>
      <c r="AG9" s="34"/>
      <c r="AH9" s="34"/>
      <c r="AI9" s="34"/>
      <c r="AJ9" s="34"/>
      <c r="AK9" s="34"/>
    </row>
    <row r="10" spans="1:37" x14ac:dyDescent="0.25">
      <c r="A10" s="84" t="s">
        <v>94</v>
      </c>
      <c r="B10" s="249" t="s">
        <v>145</v>
      </c>
      <c r="C10" s="249"/>
      <c r="D10" s="249"/>
      <c r="E10" s="249"/>
      <c r="F10" s="260"/>
      <c r="G10" s="262"/>
      <c r="H10" s="262"/>
      <c r="I10" s="262"/>
      <c r="J10" s="84"/>
      <c r="K10" s="96"/>
      <c r="L10" s="270"/>
      <c r="M10" s="270"/>
      <c r="N10" s="270"/>
      <c r="O10" s="270"/>
      <c r="P10" s="270"/>
      <c r="Q10" s="270"/>
      <c r="R10" s="270"/>
      <c r="S10" s="270"/>
      <c r="T10" s="271"/>
      <c r="U10" s="271"/>
      <c r="V10" s="271"/>
      <c r="AG10" s="34"/>
      <c r="AH10" s="34"/>
      <c r="AI10" s="34"/>
      <c r="AJ10" s="34"/>
      <c r="AK10" s="34"/>
    </row>
    <row r="11" spans="1:37" x14ac:dyDescent="0.25">
      <c r="A11" s="85" t="s">
        <v>97</v>
      </c>
      <c r="B11" s="87"/>
      <c r="C11" s="166">
        <v>2</v>
      </c>
      <c r="D11" s="91"/>
      <c r="E11" s="92"/>
      <c r="F11" s="260"/>
      <c r="G11" s="262"/>
      <c r="H11" s="262"/>
      <c r="I11" s="26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ht="13.5" x14ac:dyDescent="0.35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5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61" t="s">
        <v>154</v>
      </c>
      <c r="H13" s="261"/>
      <c r="I13" s="261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5">
      <c r="A14" s="85" t="s">
        <v>102</v>
      </c>
      <c r="B14" s="89"/>
      <c r="C14" s="106"/>
      <c r="D14" s="105" t="s">
        <v>148</v>
      </c>
      <c r="E14" s="93"/>
      <c r="F14" s="104"/>
      <c r="G14" s="261"/>
      <c r="H14" s="261"/>
      <c r="I14" s="261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5" x14ac:dyDescent="0.35">
      <c r="B15" s="81"/>
      <c r="C15" s="23"/>
      <c r="E15" s="56"/>
      <c r="G15" s="1"/>
      <c r="J15" s="12">
        <v>4</v>
      </c>
      <c r="K15" s="54">
        <v>4.75</v>
      </c>
      <c r="L15" s="111">
        <f>'input-output'!C6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5" x14ac:dyDescent="0.3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'input-output'!C7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5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'input-output'!C8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'input-output'!C9</f>
        <v>0</v>
      </c>
      <c r="M18" s="54">
        <f t="shared" si="1"/>
        <v>0</v>
      </c>
      <c r="N18" s="54">
        <f>SUM(M15:M18)</f>
        <v>0</v>
      </c>
      <c r="O18" s="54">
        <f t="shared" si="0"/>
        <v>100</v>
      </c>
      <c r="AG18" s="34"/>
      <c r="AH18" s="34"/>
      <c r="AI18" s="34"/>
      <c r="AJ18" s="34"/>
      <c r="AK18" s="34"/>
    </row>
    <row r="19" spans="1:38" ht="20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'input-output'!C10</f>
        <v>6</v>
      </c>
      <c r="M19" s="54">
        <f t="shared" si="1"/>
        <v>6</v>
      </c>
      <c r="N19" s="54">
        <f>SUM(M15:M19)</f>
        <v>6</v>
      </c>
      <c r="O19" s="54">
        <f t="shared" si="0"/>
        <v>94</v>
      </c>
      <c r="AG19" s="34"/>
      <c r="AH19" s="34"/>
      <c r="AI19" s="34"/>
      <c r="AJ19" s="34"/>
      <c r="AK19" s="34"/>
    </row>
    <row r="20" spans="1:38" ht="20.2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'input-output'!C11</f>
        <v>1</v>
      </c>
      <c r="M20" s="54">
        <f t="shared" si="1"/>
        <v>1</v>
      </c>
      <c r="N20" s="54">
        <f>SUM(M15:M20)</f>
        <v>7</v>
      </c>
      <c r="O20" s="54">
        <f t="shared" si="0"/>
        <v>93</v>
      </c>
      <c r="AG20" s="34"/>
      <c r="AH20" s="34"/>
      <c r="AI20" s="34"/>
      <c r="AJ20" s="34"/>
      <c r="AK20" s="34"/>
    </row>
    <row r="21" spans="1:38" ht="20.2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'input-output'!C12</f>
        <v>2</v>
      </c>
      <c r="M21" s="54">
        <f t="shared" si="1"/>
        <v>2</v>
      </c>
      <c r="N21" s="54">
        <f>SUM(M15:M21)</f>
        <v>9</v>
      </c>
      <c r="O21" s="54">
        <f t="shared" si="0"/>
        <v>91</v>
      </c>
      <c r="AG21" s="34"/>
      <c r="AH21" s="34"/>
      <c r="AI21" s="34"/>
      <c r="AJ21" s="34"/>
      <c r="AK21" s="34"/>
    </row>
    <row r="22" spans="1:38" ht="22.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>
        <f>'input-output'!C13</f>
        <v>92</v>
      </c>
      <c r="M22" s="54">
        <f t="shared" si="1"/>
        <v>92</v>
      </c>
      <c r="N22" s="112" t="str">
        <f>IF(SUM(M15:M22)=100,100,"Adjust wt.")</f>
        <v>Adjust wt.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5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5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5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35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72" t="s">
        <v>51</v>
      </c>
      <c r="N27" s="273"/>
      <c r="O27" s="29" t="s">
        <v>52</v>
      </c>
      <c r="P27" s="31"/>
      <c r="Q27" s="274">
        <v>867452</v>
      </c>
      <c r="R27" s="275"/>
      <c r="S27" s="33" t="s">
        <v>55</v>
      </c>
      <c r="T27" s="32"/>
      <c r="U27" s="32"/>
      <c r="V27" s="66">
        <f>GS</f>
        <v>6.05</v>
      </c>
      <c r="AH27" s="34"/>
      <c r="AI27" s="34"/>
      <c r="AJ27" s="34"/>
      <c r="AK27" s="34"/>
      <c r="AL27" s="34"/>
    </row>
    <row r="28" spans="1:38" ht="13.5" x14ac:dyDescent="0.35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ht="13.5" x14ac:dyDescent="0.35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5">
      <c r="J30" s="29" t="s">
        <v>53</v>
      </c>
      <c r="K30" s="31"/>
      <c r="L30" s="267" t="s">
        <v>86</v>
      </c>
      <c r="M30" s="268"/>
      <c r="N30" s="268"/>
      <c r="O30" s="268"/>
      <c r="P30" s="268"/>
      <c r="Q30" s="268"/>
      <c r="R30" s="269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5">
      <c r="J31" s="35" t="s">
        <v>54</v>
      </c>
      <c r="K31" s="36"/>
      <c r="L31" s="74">
        <f>'input-output'!J3</f>
        <v>3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5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0" x14ac:dyDescent="0.25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ht="13.5" x14ac:dyDescent="0.35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5">
      <c r="J35" s="174" t="s">
        <v>150</v>
      </c>
      <c r="K35" s="250" t="s">
        <v>103</v>
      </c>
      <c r="L35" s="26">
        <f>'input-output'!F5</f>
        <v>0.25</v>
      </c>
      <c r="M35" s="26">
        <f>'input-output'!G5</f>
        <v>48</v>
      </c>
      <c r="N35" s="26">
        <f>'input-output'!H5</f>
        <v>33</v>
      </c>
      <c r="O35" s="11">
        <f t="shared" ref="O35:O49" si="2">M35-$L$31+$V$31+ROUND(0.0001220529*N35^4-0.0097599296*N35^3+0.2949228983*N35^2-3.7542171086*N35+15.6302691117,1)</f>
        <v>52.4</v>
      </c>
      <c r="P35" s="27">
        <f t="shared" ref="P35:P49" si="3">O35/$U$29*$P$52*100</f>
        <v>78.174512000000007</v>
      </c>
      <c r="Q35" s="27">
        <f t="shared" ref="Q35:Q49" si="4">P35*$O$21/100</f>
        <v>71.13880592000001</v>
      </c>
      <c r="R35" s="11">
        <f t="shared" ref="R35:R49" si="5">M35+$V$31</f>
        <v>48.5</v>
      </c>
      <c r="S35" s="11">
        <f t="shared" ref="S35:S49" si="6">ROUND(($M$28-$M$29)/($K$28-$K$29)*(R35-$K$28)+$M$28+0.5*(Ltwo-Vb/Agrad),1)</f>
        <v>8.6</v>
      </c>
      <c r="T35" s="11">
        <f t="shared" ref="T35:T49" si="7">ROUND(-0.000005006464124*N35^2-0.00000484550743*N35+1.00033065352292,5)</f>
        <v>0.99472000000000005</v>
      </c>
      <c r="U35" s="11">
        <f t="shared" ref="U35:U49" si="8">ROUND(0.000000000347305*N35^4-0.00000010799529*N35^3+0.000010444897593*N35^2-0.00054383241282*N35+0.017557582729184,5)</f>
        <v>7.5199999999999998E-3</v>
      </c>
      <c r="V35" s="12">
        <f t="shared" ref="V35:V49" si="9">ROUND( (30*U35/980/(GS-T35)*S35/L35)^0.5,5)</f>
        <v>3.9579999999999997E-2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5">
      <c r="J36" s="26"/>
      <c r="K36" s="251"/>
      <c r="L36" s="26">
        <f>'input-output'!F6</f>
        <v>0.5</v>
      </c>
      <c r="M36" s="26">
        <f>'input-output'!G6</f>
        <v>43.5</v>
      </c>
      <c r="N36" s="26">
        <f>'input-output'!H6</f>
        <v>31</v>
      </c>
      <c r="O36" s="11">
        <f t="shared" si="2"/>
        <v>45.6</v>
      </c>
      <c r="P36" s="27">
        <f t="shared" si="3"/>
        <v>68.029728000000006</v>
      </c>
      <c r="Q36" s="27">
        <f t="shared" si="4"/>
        <v>61.907052480000004</v>
      </c>
      <c r="R36" s="11">
        <f t="shared" si="5"/>
        <v>44</v>
      </c>
      <c r="S36" s="11">
        <f t="shared" si="6"/>
        <v>9.4</v>
      </c>
      <c r="T36" s="11">
        <f t="shared" si="7"/>
        <v>0.99536999999999998</v>
      </c>
      <c r="U36" s="11">
        <f t="shared" si="8"/>
        <v>7.8399999999999997E-3</v>
      </c>
      <c r="V36" s="12">
        <f t="shared" si="9"/>
        <v>2.988E-2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5">
      <c r="J37" s="26"/>
      <c r="K37" s="251"/>
      <c r="L37" s="26">
        <f>'input-output'!F7</f>
        <v>1</v>
      </c>
      <c r="M37" s="26">
        <f>'input-output'!G7</f>
        <v>38</v>
      </c>
      <c r="N37" s="26">
        <f>'input-output'!H7</f>
        <v>31</v>
      </c>
      <c r="O37" s="11">
        <f t="shared" si="2"/>
        <v>40.1</v>
      </c>
      <c r="P37" s="27">
        <f t="shared" si="3"/>
        <v>59.824388000000006</v>
      </c>
      <c r="Q37" s="27">
        <f t="shared" si="4"/>
        <v>54.440193080000007</v>
      </c>
      <c r="R37" s="11">
        <f t="shared" si="5"/>
        <v>38.5</v>
      </c>
      <c r="S37" s="11">
        <f t="shared" si="6"/>
        <v>10.3</v>
      </c>
      <c r="T37" s="11">
        <f t="shared" si="7"/>
        <v>0.99536999999999998</v>
      </c>
      <c r="U37" s="11">
        <f t="shared" si="8"/>
        <v>7.8399999999999997E-3</v>
      </c>
      <c r="V37" s="12">
        <f t="shared" si="9"/>
        <v>2.2110000000000001E-2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5">
      <c r="J38" s="26"/>
      <c r="K38" s="251"/>
      <c r="L38" s="26">
        <f>'input-output'!F8</f>
        <v>2</v>
      </c>
      <c r="M38" s="26">
        <f>'input-output'!G8</f>
        <v>34</v>
      </c>
      <c r="N38" s="26">
        <f>'input-output'!H8</f>
        <v>31</v>
      </c>
      <c r="O38" s="11">
        <f t="shared" si="2"/>
        <v>36.1</v>
      </c>
      <c r="P38" s="27">
        <f t="shared" si="3"/>
        <v>53.856868000000006</v>
      </c>
      <c r="Q38" s="27">
        <f t="shared" si="4"/>
        <v>49.009749880000008</v>
      </c>
      <c r="R38" s="11">
        <f t="shared" si="5"/>
        <v>34.5</v>
      </c>
      <c r="S38" s="11">
        <f t="shared" si="6"/>
        <v>10.9</v>
      </c>
      <c r="T38" s="11">
        <f t="shared" si="7"/>
        <v>0.99536999999999998</v>
      </c>
      <c r="U38" s="11">
        <f t="shared" si="8"/>
        <v>7.8399999999999997E-3</v>
      </c>
      <c r="V38" s="12">
        <f t="shared" si="9"/>
        <v>1.609E-2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5">
      <c r="J39" s="26"/>
      <c r="K39" s="251"/>
      <c r="L39" s="26">
        <f>'input-output'!F9</f>
        <v>4</v>
      </c>
      <c r="M39" s="26">
        <f>'input-output'!G9</f>
        <v>29</v>
      </c>
      <c r="N39" s="26">
        <f>'input-output'!H9</f>
        <v>31</v>
      </c>
      <c r="O39" s="11">
        <f t="shared" si="2"/>
        <v>31.1</v>
      </c>
      <c r="P39" s="27">
        <f t="shared" si="3"/>
        <v>46.397468000000003</v>
      </c>
      <c r="Q39" s="27">
        <f t="shared" si="4"/>
        <v>42.221695880000006</v>
      </c>
      <c r="R39" s="11">
        <f t="shared" si="5"/>
        <v>29.5</v>
      </c>
      <c r="S39" s="11">
        <f t="shared" si="6"/>
        <v>11.7</v>
      </c>
      <c r="T39" s="11">
        <f t="shared" si="7"/>
        <v>0.99536999999999998</v>
      </c>
      <c r="U39" s="11">
        <f t="shared" si="8"/>
        <v>7.8399999999999997E-3</v>
      </c>
      <c r="V39" s="12">
        <f t="shared" si="9"/>
        <v>1.1780000000000001E-2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5">
      <c r="A40" s="82"/>
      <c r="J40" s="26"/>
      <c r="K40" s="251"/>
      <c r="L40" s="26">
        <f>'input-output'!F10</f>
        <v>8</v>
      </c>
      <c r="M40" s="26">
        <f>'input-output'!G10</f>
        <v>24</v>
      </c>
      <c r="N40" s="26">
        <f>'input-output'!H10</f>
        <v>31</v>
      </c>
      <c r="O40" s="11">
        <f t="shared" si="2"/>
        <v>26.1</v>
      </c>
      <c r="P40" s="27">
        <f t="shared" si="3"/>
        <v>38.938068000000001</v>
      </c>
      <c r="Q40" s="27">
        <f t="shared" si="4"/>
        <v>35.433641880000003</v>
      </c>
      <c r="R40" s="11">
        <f t="shared" si="5"/>
        <v>24.5</v>
      </c>
      <c r="S40" s="11">
        <f t="shared" si="6"/>
        <v>12.6</v>
      </c>
      <c r="T40" s="11">
        <f t="shared" si="7"/>
        <v>0.99536999999999998</v>
      </c>
      <c r="U40" s="11">
        <f t="shared" si="8"/>
        <v>7.8399999999999997E-3</v>
      </c>
      <c r="V40" s="12">
        <f t="shared" si="9"/>
        <v>8.6499999999999997E-3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5">
      <c r="A41" s="82"/>
      <c r="J41" s="26"/>
      <c r="K41" s="251"/>
      <c r="L41" s="26">
        <f>'input-output'!F11</f>
        <v>15</v>
      </c>
      <c r="M41" s="26">
        <f>'input-output'!G11</f>
        <v>20</v>
      </c>
      <c r="N41" s="26">
        <f>'input-output'!H11</f>
        <v>31</v>
      </c>
      <c r="O41" s="11">
        <f t="shared" si="2"/>
        <v>22.1</v>
      </c>
      <c r="P41" s="27">
        <f t="shared" si="3"/>
        <v>32.970548000000008</v>
      </c>
      <c r="Q41" s="27">
        <f t="shared" si="4"/>
        <v>30.003198680000004</v>
      </c>
      <c r="R41" s="11">
        <f t="shared" si="5"/>
        <v>20.5</v>
      </c>
      <c r="S41" s="11">
        <f t="shared" si="6"/>
        <v>13.2</v>
      </c>
      <c r="T41" s="11">
        <f t="shared" si="7"/>
        <v>0.99536999999999998</v>
      </c>
      <c r="U41" s="11">
        <f t="shared" si="8"/>
        <v>7.8399999999999997E-3</v>
      </c>
      <c r="V41" s="12">
        <f t="shared" si="9"/>
        <v>6.4599999999999996E-3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5">
      <c r="B42" s="7"/>
      <c r="G42" s="7"/>
      <c r="J42" s="26"/>
      <c r="K42" s="251"/>
      <c r="L42" s="26">
        <f>'input-output'!F12</f>
        <v>30</v>
      </c>
      <c r="M42" s="26">
        <f>'input-output'!G12</f>
        <v>17</v>
      </c>
      <c r="N42" s="26">
        <f>'input-output'!H12</f>
        <v>31</v>
      </c>
      <c r="O42" s="11">
        <f t="shared" si="2"/>
        <v>19.100000000000001</v>
      </c>
      <c r="P42" s="27">
        <f t="shared" si="3"/>
        <v>28.494908000000002</v>
      </c>
      <c r="Q42" s="27">
        <f t="shared" si="4"/>
        <v>25.930366280000001</v>
      </c>
      <c r="R42" s="11">
        <f t="shared" si="5"/>
        <v>17.5</v>
      </c>
      <c r="S42" s="11">
        <f t="shared" si="6"/>
        <v>13.7</v>
      </c>
      <c r="T42" s="11">
        <f t="shared" si="7"/>
        <v>0.99536999999999998</v>
      </c>
      <c r="U42" s="11">
        <f t="shared" si="8"/>
        <v>7.8399999999999997E-3</v>
      </c>
      <c r="V42" s="12">
        <f t="shared" si="9"/>
        <v>4.6600000000000001E-3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5">
      <c r="J43" s="26"/>
      <c r="K43" s="251"/>
      <c r="L43" s="26">
        <f>'input-output'!F13</f>
        <v>60</v>
      </c>
      <c r="M43" s="26">
        <f>'input-output'!G13</f>
        <v>14</v>
      </c>
      <c r="N43" s="26">
        <f>'input-output'!H13</f>
        <v>31</v>
      </c>
      <c r="O43" s="11">
        <f t="shared" si="2"/>
        <v>16.100000000000001</v>
      </c>
      <c r="P43" s="27">
        <f t="shared" si="3"/>
        <v>24.019268</v>
      </c>
      <c r="Q43" s="27">
        <f t="shared" si="4"/>
        <v>21.857533880000002</v>
      </c>
      <c r="R43" s="11">
        <f t="shared" si="5"/>
        <v>14.5</v>
      </c>
      <c r="S43" s="11">
        <f t="shared" si="6"/>
        <v>14.2</v>
      </c>
      <c r="T43" s="11">
        <f t="shared" si="7"/>
        <v>0.99536999999999998</v>
      </c>
      <c r="U43" s="11">
        <f t="shared" si="8"/>
        <v>7.8399999999999997E-3</v>
      </c>
      <c r="V43" s="12">
        <f t="shared" si="9"/>
        <v>3.3500000000000001E-3</v>
      </c>
      <c r="AC43" s="24"/>
      <c r="AD43" s="24"/>
      <c r="AE43" s="51"/>
      <c r="AF43" s="24"/>
      <c r="AG43" s="24"/>
      <c r="AH43" s="24"/>
      <c r="AI43" s="24"/>
      <c r="AJ43" s="22"/>
    </row>
    <row r="44" spans="1:40" ht="13" x14ac:dyDescent="0.3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51"/>
      <c r="L44" s="26">
        <f>'input-output'!F14</f>
        <v>120</v>
      </c>
      <c r="M44" s="26">
        <f>'input-output'!G14</f>
        <v>11.5</v>
      </c>
      <c r="N44" s="26">
        <f>'input-output'!H14</f>
        <v>31</v>
      </c>
      <c r="O44" s="11">
        <f t="shared" si="2"/>
        <v>13.6</v>
      </c>
      <c r="P44" s="27">
        <f t="shared" si="3"/>
        <v>20.289568000000003</v>
      </c>
      <c r="Q44" s="27">
        <f t="shared" si="4"/>
        <v>18.463506880000001</v>
      </c>
      <c r="R44" s="11">
        <f t="shared" si="5"/>
        <v>12</v>
      </c>
      <c r="S44" s="11">
        <f t="shared" si="6"/>
        <v>14.6</v>
      </c>
      <c r="T44" s="11">
        <f t="shared" si="7"/>
        <v>0.99536999999999998</v>
      </c>
      <c r="U44" s="11">
        <f t="shared" si="8"/>
        <v>7.8399999999999997E-3</v>
      </c>
      <c r="V44" s="12">
        <f t="shared" si="9"/>
        <v>2.3999999999999998E-3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5">
      <c r="J45" s="26"/>
      <c r="K45" s="251"/>
      <c r="L45" s="26">
        <f>'input-output'!F15</f>
        <v>240</v>
      </c>
      <c r="M45" s="26">
        <f>'input-output'!G15</f>
        <v>10</v>
      </c>
      <c r="N45" s="26">
        <f>'input-output'!H15</f>
        <v>31</v>
      </c>
      <c r="O45" s="11">
        <f t="shared" si="2"/>
        <v>12.1</v>
      </c>
      <c r="P45" s="27">
        <f t="shared" si="3"/>
        <v>18.051748</v>
      </c>
      <c r="Q45" s="27">
        <f t="shared" si="4"/>
        <v>16.427090679999999</v>
      </c>
      <c r="R45" s="11">
        <f t="shared" si="5"/>
        <v>10.5</v>
      </c>
      <c r="S45" s="11">
        <f t="shared" si="6"/>
        <v>14.9</v>
      </c>
      <c r="T45" s="11">
        <f t="shared" si="7"/>
        <v>0.99536999999999998</v>
      </c>
      <c r="U45" s="11">
        <f t="shared" si="8"/>
        <v>7.8399999999999997E-3</v>
      </c>
      <c r="V45" s="12">
        <f t="shared" si="9"/>
        <v>1.72E-3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" thickBot="1" x14ac:dyDescent="0.3">
      <c r="J46" s="26"/>
      <c r="K46" s="251"/>
      <c r="L46" s="26">
        <f>'input-output'!F16</f>
        <v>480</v>
      </c>
      <c r="M46" s="26">
        <f>'input-output'!G16</f>
        <v>9.5</v>
      </c>
      <c r="N46" s="26">
        <f>'input-output'!H16</f>
        <v>31</v>
      </c>
      <c r="O46" s="11">
        <f t="shared" si="2"/>
        <v>11.6</v>
      </c>
      <c r="P46" s="27">
        <f t="shared" si="3"/>
        <v>17.305807999999999</v>
      </c>
      <c r="Q46" s="27">
        <f t="shared" si="4"/>
        <v>15.748285279999999</v>
      </c>
      <c r="R46" s="11">
        <f t="shared" si="5"/>
        <v>10</v>
      </c>
      <c r="S46" s="11">
        <f t="shared" si="6"/>
        <v>14.9</v>
      </c>
      <c r="T46" s="11">
        <f t="shared" si="7"/>
        <v>0.99536999999999998</v>
      </c>
      <c r="U46" s="11">
        <f t="shared" si="8"/>
        <v>7.8399999999999997E-3</v>
      </c>
      <c r="V46" s="12">
        <f t="shared" si="9"/>
        <v>1.2099999999999999E-3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5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51"/>
      <c r="L47" s="26">
        <f>'input-output'!F17</f>
        <v>1434</v>
      </c>
      <c r="M47" s="26">
        <f>'input-output'!G17</f>
        <v>7.5</v>
      </c>
      <c r="N47" s="26">
        <f>'input-output'!H17</f>
        <v>31</v>
      </c>
      <c r="O47" s="11">
        <f t="shared" si="2"/>
        <v>9.6</v>
      </c>
      <c r="P47" s="27">
        <f t="shared" si="3"/>
        <v>14.322048000000001</v>
      </c>
      <c r="Q47" s="27">
        <f t="shared" si="4"/>
        <v>13.03306368</v>
      </c>
      <c r="R47" s="11">
        <f t="shared" si="5"/>
        <v>8</v>
      </c>
      <c r="S47" s="11">
        <f t="shared" si="6"/>
        <v>15.3</v>
      </c>
      <c r="T47" s="11">
        <f t="shared" si="7"/>
        <v>0.99536999999999998</v>
      </c>
      <c r="U47" s="11">
        <f t="shared" si="8"/>
        <v>7.8399999999999997E-3</v>
      </c>
      <c r="V47" s="107">
        <f t="shared" si="9"/>
        <v>7.1000000000000002E-4</v>
      </c>
      <c r="W47" s="108">
        <f>24*60</f>
        <v>1440</v>
      </c>
      <c r="X47" s="253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5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51"/>
      <c r="L48" s="26">
        <f>'input-output'!F18</f>
        <v>2865</v>
      </c>
      <c r="M48" s="26">
        <f>'input-output'!G18</f>
        <v>6.5</v>
      </c>
      <c r="N48" s="26">
        <f>'input-output'!H18</f>
        <v>32</v>
      </c>
      <c r="O48" s="11">
        <f t="shared" si="2"/>
        <v>9.6999999999999993</v>
      </c>
      <c r="P48" s="27">
        <f t="shared" si="3"/>
        <v>14.471235999999998</v>
      </c>
      <c r="Q48" s="27">
        <f t="shared" si="4"/>
        <v>13.168824759999998</v>
      </c>
      <c r="R48" s="11">
        <f t="shared" si="5"/>
        <v>7</v>
      </c>
      <c r="S48" s="11">
        <f t="shared" si="6"/>
        <v>15.4</v>
      </c>
      <c r="T48" s="11">
        <f t="shared" si="7"/>
        <v>0.99504999999999999</v>
      </c>
      <c r="U48" s="11">
        <f t="shared" si="8"/>
        <v>7.6800000000000002E-3</v>
      </c>
      <c r="V48" s="107">
        <f t="shared" si="9"/>
        <v>5.0000000000000001E-4</v>
      </c>
      <c r="W48" s="109">
        <v>2880</v>
      </c>
      <c r="X48" s="254"/>
      <c r="AC48" s="24"/>
      <c r="AD48" s="24"/>
      <c r="AE48" s="51"/>
      <c r="AF48" s="24"/>
      <c r="AG48" s="24"/>
      <c r="AH48" s="24"/>
      <c r="AI48" s="24"/>
      <c r="AJ48" s="22"/>
    </row>
    <row r="49" spans="1:39" ht="13" thickBot="1" x14ac:dyDescent="0.3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52"/>
      <c r="L49" s="26">
        <f>'input-output'!F19</f>
        <v>7634</v>
      </c>
      <c r="M49" s="26">
        <f>'input-output'!G19</f>
        <v>6</v>
      </c>
      <c r="N49" s="26">
        <f>'input-output'!H19</f>
        <v>32</v>
      </c>
      <c r="O49" s="11">
        <f t="shared" si="2"/>
        <v>9.1999999999999993</v>
      </c>
      <c r="P49" s="27">
        <f t="shared" si="3"/>
        <v>13.725296</v>
      </c>
      <c r="Q49" s="27">
        <f t="shared" si="4"/>
        <v>12.490019360000002</v>
      </c>
      <c r="R49" s="11">
        <f t="shared" si="5"/>
        <v>6.5</v>
      </c>
      <c r="S49" s="11">
        <f t="shared" si="6"/>
        <v>15.5</v>
      </c>
      <c r="T49" s="11">
        <f t="shared" si="7"/>
        <v>0.99504999999999999</v>
      </c>
      <c r="U49" s="11">
        <f t="shared" si="8"/>
        <v>7.6800000000000002E-3</v>
      </c>
      <c r="V49" s="107">
        <f t="shared" si="9"/>
        <v>3.1E-4</v>
      </c>
      <c r="W49" s="110">
        <v>4320</v>
      </c>
      <c r="X49" s="255"/>
      <c r="AC49" s="24"/>
      <c r="AD49" s="24"/>
      <c r="AE49" s="51"/>
      <c r="AF49" s="24"/>
      <c r="AG49" s="24"/>
      <c r="AH49" s="24"/>
      <c r="AI49" s="24"/>
      <c r="AJ49" s="22"/>
    </row>
    <row r="50" spans="1:39" ht="13.5" x14ac:dyDescent="0.35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ht="13.5" x14ac:dyDescent="0.35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ht="13.5" x14ac:dyDescent="0.35">
      <c r="B52" s="3"/>
      <c r="J52" s="1" t="s">
        <v>71</v>
      </c>
      <c r="P52" s="72">
        <f>ROUND(V27*1.65/(V27-1)/2.65,5)</f>
        <v>0.74594000000000005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5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5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5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5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5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5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5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5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5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" thickBot="1" x14ac:dyDescent="0.3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ht="13" x14ac:dyDescent="0.3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5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ht="13.5" x14ac:dyDescent="0.35">
      <c r="B65" s="119" t="s">
        <v>22</v>
      </c>
      <c r="C65" s="34"/>
      <c r="D65" s="34"/>
      <c r="E65" s="120">
        <f>'input-output'!L8</f>
        <v>381.9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5">
      <c r="B66" s="119" t="s">
        <v>23</v>
      </c>
      <c r="C66" s="34"/>
      <c r="D66" s="34"/>
      <c r="E66" s="120">
        <f>'input-output'!L9</f>
        <v>20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ht="13.5" x14ac:dyDescent="0.35">
      <c r="B67" s="119" t="s">
        <v>24</v>
      </c>
      <c r="C67" s="34"/>
      <c r="D67" s="34"/>
      <c r="E67" s="120">
        <f>'input-output'!L10</f>
        <v>340.4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ht="13.5" x14ac:dyDescent="0.35">
      <c r="B68" s="119" t="s">
        <v>25</v>
      </c>
      <c r="C68" s="34"/>
      <c r="D68" s="34"/>
      <c r="E68" s="120">
        <f>'input-output'!L11</f>
        <v>49.7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5">
      <c r="B69" s="121" t="s">
        <v>26</v>
      </c>
      <c r="C69" s="34"/>
      <c r="D69" s="34"/>
      <c r="E69" s="118">
        <f>'input-output'!L12</f>
        <v>0.99822999999999995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" thickBot="1" x14ac:dyDescent="0.3">
      <c r="B70" s="122" t="s">
        <v>27</v>
      </c>
      <c r="C70" s="123"/>
      <c r="D70" s="123"/>
      <c r="E70" s="124">
        <f>'input-output'!L13</f>
        <v>6.05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5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5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5">
      <c r="J73" s="12">
        <v>22</v>
      </c>
      <c r="K73" s="12">
        <v>0.99780000000000002</v>
      </c>
      <c r="L73" s="61">
        <f t="shared" si="10"/>
        <v>0.99780000000000002</v>
      </c>
    </row>
    <row r="74" spans="2:37" ht="13" thickBot="1" x14ac:dyDescent="0.3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5">
      <c r="B75" s="256" t="s">
        <v>114</v>
      </c>
      <c r="C75" s="257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5">
      <c r="B76" s="258"/>
      <c r="C76" s="259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5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5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5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5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5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5">
      <c r="B82" s="127">
        <f t="shared" si="11"/>
        <v>0.6</v>
      </c>
      <c r="C82" s="129">
        <f t="shared" si="12"/>
        <v>100</v>
      </c>
    </row>
    <row r="83" spans="2:30" x14ac:dyDescent="0.25">
      <c r="B83" s="127">
        <f t="shared" si="11"/>
        <v>0.3</v>
      </c>
      <c r="C83" s="129">
        <f t="shared" si="12"/>
        <v>94</v>
      </c>
      <c r="J83" s="10" t="s">
        <v>75</v>
      </c>
    </row>
    <row r="84" spans="2:30" x14ac:dyDescent="0.25">
      <c r="B84" s="127">
        <f t="shared" si="11"/>
        <v>0.15</v>
      </c>
      <c r="C84" s="129">
        <f t="shared" si="12"/>
        <v>93</v>
      </c>
      <c r="J84" s="15" t="s">
        <v>7</v>
      </c>
      <c r="K84" s="57" t="s">
        <v>76</v>
      </c>
      <c r="L84" s="62" t="s">
        <v>77</v>
      </c>
    </row>
    <row r="85" spans="2:30" ht="32.5" x14ac:dyDescent="0.25">
      <c r="B85" s="127">
        <f t="shared" si="11"/>
        <v>7.4999999999999997E-2</v>
      </c>
      <c r="C85" s="184">
        <f>O21</f>
        <v>91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5">
      <c r="B86" s="130">
        <f>V36</f>
        <v>2.988E-2</v>
      </c>
      <c r="C86" s="131">
        <f>Q36</f>
        <v>61.907052480000004</v>
      </c>
      <c r="F86" s="55"/>
      <c r="J86" s="12">
        <v>4</v>
      </c>
      <c r="K86" s="12">
        <v>1.567E-2</v>
      </c>
      <c r="L86" s="60"/>
    </row>
    <row r="87" spans="2:30" x14ac:dyDescent="0.25">
      <c r="B87" s="130">
        <f t="shared" ref="B87:B99" si="13">V37</f>
        <v>2.2110000000000001E-2</v>
      </c>
      <c r="C87" s="131">
        <f t="shared" ref="C87:C99" si="14">Q37</f>
        <v>54.440193080000007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5">
      <c r="B88" s="130">
        <f t="shared" si="13"/>
        <v>1.609E-2</v>
      </c>
      <c r="C88" s="131">
        <f t="shared" si="14"/>
        <v>49.009749880000008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5">
      <c r="B89" s="130">
        <f t="shared" si="13"/>
        <v>1.1780000000000001E-2</v>
      </c>
      <c r="C89" s="131">
        <f t="shared" si="14"/>
        <v>42.221695880000006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5">
      <c r="B90" s="130">
        <f t="shared" si="13"/>
        <v>8.6499999999999997E-3</v>
      </c>
      <c r="C90" s="131">
        <f t="shared" si="14"/>
        <v>35.433641880000003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5">
      <c r="B91" s="130">
        <f t="shared" si="13"/>
        <v>6.4599999999999996E-3</v>
      </c>
      <c r="C91" s="131">
        <f t="shared" si="14"/>
        <v>30.003198680000004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5">
      <c r="B92" s="130">
        <f t="shared" si="13"/>
        <v>4.6600000000000001E-3</v>
      </c>
      <c r="C92" s="131">
        <f t="shared" si="14"/>
        <v>25.930366280000001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5">
      <c r="B93" s="130">
        <f t="shared" si="13"/>
        <v>3.3500000000000001E-3</v>
      </c>
      <c r="C93" s="131">
        <f t="shared" si="14"/>
        <v>21.857533880000002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5">
      <c r="B94" s="130">
        <f t="shared" si="13"/>
        <v>2.3999999999999998E-3</v>
      </c>
      <c r="C94" s="131">
        <f t="shared" si="14"/>
        <v>18.463506880000001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5">
      <c r="B95" s="130">
        <f t="shared" si="13"/>
        <v>1.72E-3</v>
      </c>
      <c r="C95" s="131">
        <f t="shared" si="14"/>
        <v>16.427090679999999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5">
      <c r="B96" s="130">
        <f t="shared" si="13"/>
        <v>1.2099999999999999E-3</v>
      </c>
      <c r="C96" s="131">
        <f t="shared" si="14"/>
        <v>15.748285279999999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5">
      <c r="B97" s="130">
        <f>V47</f>
        <v>7.1000000000000002E-4</v>
      </c>
      <c r="C97" s="131">
        <f t="shared" si="14"/>
        <v>13.03306368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5">
      <c r="B98" s="130">
        <f t="shared" si="13"/>
        <v>5.0000000000000001E-4</v>
      </c>
      <c r="C98" s="131">
        <f t="shared" si="14"/>
        <v>13.168824759999998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" thickBot="1" x14ac:dyDescent="0.3">
      <c r="B99" s="132">
        <f t="shared" si="13"/>
        <v>3.1E-4</v>
      </c>
      <c r="C99" s="133">
        <f t="shared" si="14"/>
        <v>12.490019360000002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5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5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5">
      <c r="AF102" s="34"/>
      <c r="AG102" s="34"/>
      <c r="AH102" s="34"/>
      <c r="AI102" s="34"/>
      <c r="AJ102" s="34"/>
    </row>
    <row r="103" spans="2:37" ht="13.5" x14ac:dyDescent="0.35">
      <c r="J103" s="10" t="s">
        <v>74</v>
      </c>
      <c r="AF103" s="34"/>
      <c r="AG103" s="34"/>
      <c r="AH103" s="34"/>
      <c r="AI103" s="34"/>
      <c r="AJ103" s="34"/>
    </row>
    <row r="104" spans="2:37" x14ac:dyDescent="0.25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ht="13.5" x14ac:dyDescent="0.35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5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5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5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5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5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5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5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5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5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5">
      <c r="J115" s="12">
        <v>24</v>
      </c>
      <c r="K115" s="12">
        <v>1</v>
      </c>
      <c r="L115" s="12">
        <f t="shared" si="16"/>
        <v>0.97759387159550037</v>
      </c>
    </row>
    <row r="116" spans="10:26" x14ac:dyDescent="0.25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5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5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5">
      <c r="J119" s="12">
        <v>28</v>
      </c>
      <c r="K119" s="12">
        <v>2.5</v>
      </c>
      <c r="L119" s="12">
        <f t="shared" si="16"/>
        <v>2.5022961817035121</v>
      </c>
    </row>
    <row r="120" spans="10:26" x14ac:dyDescent="0.25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5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  <mergeCell ref="B8:E8"/>
    <mergeCell ref="B10:E10"/>
    <mergeCell ref="K35:K49"/>
    <mergeCell ref="X47:X49"/>
    <mergeCell ref="B75:C76"/>
    <mergeCell ref="F8:F11"/>
    <mergeCell ref="G13:I14"/>
    <mergeCell ref="G8:I11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5" x14ac:dyDescent="0.25"/>
  <cols>
    <col min="1" max="1" width="14.81640625" bestFit="1" customWidth="1"/>
    <col min="2" max="2" width="18.81640625" customWidth="1"/>
    <col min="3" max="3" width="19" customWidth="1"/>
    <col min="4" max="4" width="17.54296875" customWidth="1"/>
    <col min="5" max="5" width="17" customWidth="1"/>
    <col min="6" max="6" width="15" customWidth="1"/>
    <col min="7" max="7" width="15.54296875" customWidth="1"/>
    <col min="8" max="9" width="15" bestFit="1" customWidth="1"/>
    <col min="10" max="10" width="10.81640625" bestFit="1" customWidth="1"/>
  </cols>
  <sheetData>
    <row r="2" spans="1:12" ht="13" thickBot="1" x14ac:dyDescent="0.3"/>
    <row r="3" spans="1:12" ht="13" x14ac:dyDescent="0.3">
      <c r="A3" s="151" t="s">
        <v>115</v>
      </c>
      <c r="B3" s="148" t="s">
        <v>112</v>
      </c>
      <c r="C3" s="148" t="s">
        <v>113</v>
      </c>
      <c r="D3" s="276" t="s">
        <v>126</v>
      </c>
      <c r="E3" s="277"/>
      <c r="F3" s="276" t="s">
        <v>127</v>
      </c>
      <c r="G3" s="277"/>
      <c r="H3" s="152" t="s">
        <v>128</v>
      </c>
      <c r="I3" s="152" t="s">
        <v>129</v>
      </c>
      <c r="J3" s="153" t="s">
        <v>130</v>
      </c>
    </row>
    <row r="4" spans="1:12" ht="13" x14ac:dyDescent="0.3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ht="13" x14ac:dyDescent="0.3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97.015002043175102</v>
      </c>
      <c r="J5" s="154">
        <f t="shared" ref="J5:J9" si="1">ROUND(H5-I5,2)</f>
        <v>2.98</v>
      </c>
    </row>
    <row r="6" spans="1:12" ht="13" x14ac:dyDescent="0.3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100</v>
      </c>
      <c r="G6" s="114">
        <f>INDEX(main!$B$79:$C$99,MATCH(B6,main!$B$79:$B$99,-1)+1,2)</f>
        <v>94</v>
      </c>
      <c r="H6" s="114" cm="1">
        <f t="array" ref="H6">TREND(F6:G6,LOG10(D6:E6),LOG10(B6),TRUE)</f>
        <v>97.015002043175102</v>
      </c>
      <c r="I6" s="114">
        <f t="shared" si="0"/>
        <v>91</v>
      </c>
      <c r="J6" s="154">
        <f t="shared" si="1"/>
        <v>6.02</v>
      </c>
    </row>
    <row r="7" spans="1:12" ht="13.5" thickBot="1" x14ac:dyDescent="0.3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2.988E-2</v>
      </c>
      <c r="F7" s="114">
        <f>INDEX(main!$B$79:$C$99,MATCH(B7,main!$B$79:$B$99,-1),2)</f>
        <v>91</v>
      </c>
      <c r="G7" s="114">
        <f>INDEX(main!$B$79:$C$99,MATCH(B7,main!$B$79:$B$99,-1)+1,2)</f>
        <v>61.907052480000004</v>
      </c>
      <c r="H7" s="114" cm="1">
        <f t="array" ref="H7">TREND(F7:G7,LOG10(D7:E7),LOG10(B7),TRUE)</f>
        <v>91</v>
      </c>
      <c r="I7" s="114">
        <f t="shared" si="0"/>
        <v>26.808525234413239</v>
      </c>
      <c r="J7" s="154">
        <f t="shared" si="1"/>
        <v>64.19</v>
      </c>
    </row>
    <row r="8" spans="1:12" ht="13" x14ac:dyDescent="0.3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6.4599999999999996E-3</v>
      </c>
      <c r="E8" s="114">
        <f>INDEX(main!$B$79:$C$99,MATCH(B8,main!$B$79:$B$99,-1)+1,1)</f>
        <v>4.6600000000000001E-3</v>
      </c>
      <c r="F8" s="114">
        <f>INDEX(main!$B$79:$C$99,MATCH(B8,main!$B$79:$B$99,-1),2)</f>
        <v>30.003198680000004</v>
      </c>
      <c r="G8" s="114">
        <f>INDEX(main!$B$79:$C$99,MATCH(B8,main!$B$79:$B$99,-1)+1,2)</f>
        <v>25.930366280000001</v>
      </c>
      <c r="H8" s="114" cm="1">
        <f t="array" ref="H8">TREND(F8:G8,LOG10(D8:E8),LOG10(B8),TRUE)</f>
        <v>26.808525234413239</v>
      </c>
      <c r="I8" s="114">
        <f t="shared" si="0"/>
        <v>14.777423977952431</v>
      </c>
      <c r="J8" s="154">
        <f t="shared" si="1"/>
        <v>12.03</v>
      </c>
      <c r="K8" s="278" t="s">
        <v>138</v>
      </c>
      <c r="L8" s="164">
        <f>J9+J8</f>
        <v>26.81</v>
      </c>
    </row>
    <row r="9" spans="1:12" ht="13.5" thickBot="1" x14ac:dyDescent="0.3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1.2099999999999999E-3</v>
      </c>
      <c r="E9" s="138">
        <f>INDEX(main!$B$79:$C$99,MATCH(B9,main!$B$79:$B$99,-1)+1,1)</f>
        <v>7.1000000000000002E-4</v>
      </c>
      <c r="F9" s="138">
        <f>INDEX(main!$B$79:$C$99,MATCH(B9,main!$B$79:$B$99,-1),2)</f>
        <v>15.748285279999999</v>
      </c>
      <c r="G9" s="138">
        <f>INDEX(main!$B$79:$C$99,MATCH(B9,main!$B$79:$B$99,-1)+1,2)</f>
        <v>13.03306368</v>
      </c>
      <c r="H9" s="138" cm="1">
        <f t="array" ref="H9">TREND(F9:G9,LOG10(D9:E9),LOG10(B9),TRUE)</f>
        <v>14.777423977952431</v>
      </c>
      <c r="I9" s="138">
        <f t="shared" si="0"/>
        <v>0</v>
      </c>
      <c r="J9" s="155">
        <f t="shared" si="1"/>
        <v>14.78</v>
      </c>
      <c r="K9" s="279"/>
      <c r="L9" s="163"/>
    </row>
    <row r="10" spans="1:12" ht="13.5" thickBot="1" x14ac:dyDescent="0.35">
      <c r="G10" s="146" t="s">
        <v>131</v>
      </c>
      <c r="H10" s="147">
        <v>0</v>
      </c>
    </row>
    <row r="11" spans="1:12" ht="13" thickBot="1" x14ac:dyDescent="0.3"/>
    <row r="12" spans="1:12" ht="13" x14ac:dyDescent="0.25">
      <c r="A12" s="139" t="s">
        <v>105</v>
      </c>
      <c r="B12" s="276" t="s">
        <v>132</v>
      </c>
      <c r="C12" s="277"/>
      <c r="D12" s="276" t="s">
        <v>121</v>
      </c>
      <c r="E12" s="277"/>
      <c r="F12" s="177" t="s">
        <v>122</v>
      </c>
      <c r="G12" s="177" t="s">
        <v>123</v>
      </c>
      <c r="H12" s="135" t="s">
        <v>124</v>
      </c>
    </row>
    <row r="13" spans="1:12" ht="13" x14ac:dyDescent="0.25">
      <c r="A13" s="140">
        <v>10</v>
      </c>
      <c r="B13" s="141">
        <f>INDEX(main!$B$79:$C$99,MATCH(A13,main!$C$79:$C$99,-1),2)</f>
        <v>12.490019360000002</v>
      </c>
      <c r="C13" s="141" t="e">
        <f>INDEX(main!$B$79:$C$99,MATCH(A13,main!$C$79:$C$99,-1)+1,2)</f>
        <v>#REF!</v>
      </c>
      <c r="D13" s="141">
        <f>INDEX(main!$B$79:$C$99,MATCH(A13,main!$C$79:$C$99,-1),1)</f>
        <v>3.1E-4</v>
      </c>
      <c r="E13" s="141" t="e">
        <f>INDEX(main!$B$79:$C$99,MATCH(A13,main!$C$79:$C$99,-1)+1,1)</f>
        <v>#REF!</v>
      </c>
      <c r="F13" s="175" t="str" cm="1">
        <f t="array" ref="F13">IF(ISERROR(E13)=FALSE,ROUND(10^TREND(LOG10(D13:E13),B13:C13,A13),3),"---")</f>
        <v>---</v>
      </c>
      <c r="G13" s="175"/>
      <c r="H13" s="136"/>
    </row>
    <row r="14" spans="1:12" ht="13" x14ac:dyDescent="0.25">
      <c r="A14" s="140">
        <v>30</v>
      </c>
      <c r="B14" s="141">
        <f>INDEX(main!$B$79:$C$99,MATCH(A14,main!$C$79:$C$99,-1),2)</f>
        <v>30.003198680000004</v>
      </c>
      <c r="C14" s="141">
        <f>INDEX(main!$B$79:$C$99,MATCH(A14,main!$C$79:$C$99,-1)+1,2)</f>
        <v>25.930366280000001</v>
      </c>
      <c r="D14" s="141">
        <f>INDEX(main!$B$79:$C$99,MATCH(A14,main!$C$79:$C$99,-1),1)</f>
        <v>6.4599999999999996E-3</v>
      </c>
      <c r="E14" s="141">
        <f>INDEX(main!$B$79:$C$99,MATCH(A14,main!$C$79:$C$99,-1)+1,1)</f>
        <v>4.6600000000000001E-3</v>
      </c>
      <c r="F14" s="175" cm="1">
        <f t="array" ref="F14">IF(ISERROR(E14)=FALSE,ROUND(10^TREND(LOG10(D14:E14),B14:C14,A14),3),"---")</f>
        <v>6.0000000000000001E-3</v>
      </c>
      <c r="G14" s="176" t="str">
        <f>IF(OR(F13="---",F15="---"),"---",ROUND(F15/F13,2))</f>
        <v>---</v>
      </c>
      <c r="H14" s="137" t="str">
        <f>IF(OR(F13="---",F14="---",F15="---"),"---",ROUND(F14^2/(F15*F13),2))</f>
        <v>---</v>
      </c>
    </row>
    <row r="15" spans="1:12" ht="13" x14ac:dyDescent="0.25">
      <c r="A15" s="140">
        <v>60</v>
      </c>
      <c r="B15" s="141">
        <f>INDEX(main!$B$79:$C$99,MATCH(A15,main!$C$79:$C$99,-1),2)</f>
        <v>61.907052480000004</v>
      </c>
      <c r="C15" s="141">
        <f>INDEX(main!$B$79:$C$99,MATCH(A15,main!$C$79:$C$99,-1)+1,2)</f>
        <v>54.440193080000007</v>
      </c>
      <c r="D15" s="141">
        <f>INDEX(main!$B$79:$C$99,MATCH(A15,main!$C$79:$C$99,-1),1)</f>
        <v>2.988E-2</v>
      </c>
      <c r="E15" s="141">
        <f>INDEX(main!$B$79:$C$99,MATCH(A15,main!$C$79:$C$99,-1)+1,1)</f>
        <v>2.2110000000000001E-2</v>
      </c>
      <c r="F15" s="175" cm="1">
        <f t="array" ref="F15">IF(ISERROR(E15)=FALSE,ROUND(10^TREND(LOG10(D15:E15),B15:C15,A15),3),"---")</f>
        <v>2.8000000000000001E-2</v>
      </c>
      <c r="G15" s="175"/>
      <c r="H15" s="136"/>
    </row>
    <row r="16" spans="1:12" ht="13.5" thickBot="1" x14ac:dyDescent="0.3">
      <c r="A16" s="142">
        <v>50</v>
      </c>
      <c r="B16" s="178">
        <f>INDEX(main!$B$79:$C$99,MATCH(A16,main!$C$79:$C$99,-1),2)</f>
        <v>54.440193080000007</v>
      </c>
      <c r="C16" s="178">
        <f>INDEX(main!$B$79:$C$99,MATCH(A16,main!$C$79:$C$99,-1)+1,2)</f>
        <v>49.009749880000008</v>
      </c>
      <c r="D16" s="178">
        <f>INDEX(main!$B$79:$C$99,MATCH(A16,main!$C$79:$C$99,-1),1)</f>
        <v>2.2110000000000001E-2</v>
      </c>
      <c r="E16" s="178">
        <f>INDEX(main!$B$79:$C$99,MATCH(A16,main!$C$79:$C$99,-1)+1,1)</f>
        <v>1.609E-2</v>
      </c>
      <c r="F16" s="179" cm="1">
        <f t="array" ref="F16">IF(ISERROR(E16)=FALSE,ROUND(10^TREND(LOG10(D16:E16),B16:C16,A16),3),"---")</f>
        <v>1.7000000000000001E-2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16" zoomScaleNormal="100" zoomScaleSheetLayoutView="100" workbookViewId="0">
      <selection activeCell="L9" sqref="L9"/>
    </sheetView>
  </sheetViews>
  <sheetFormatPr defaultRowHeight="12.5" x14ac:dyDescent="0.25"/>
  <cols>
    <col min="4" max="4" width="9.26953125" bestFit="1" customWidth="1"/>
    <col min="7" max="7" width="11.1796875" customWidth="1"/>
    <col min="8" max="8" width="7.7265625" customWidth="1"/>
    <col min="9" max="9" width="8.1796875" customWidth="1"/>
  </cols>
  <sheetData>
    <row r="1" spans="1:9" ht="14" x14ac:dyDescent="0.3">
      <c r="B1" s="4"/>
      <c r="C1" s="4"/>
      <c r="D1" s="4"/>
      <c r="E1" s="4"/>
      <c r="F1" s="4"/>
      <c r="G1" s="4"/>
      <c r="H1" s="4"/>
    </row>
    <row r="2" spans="1:9" ht="14" x14ac:dyDescent="0.3">
      <c r="A2" s="4"/>
      <c r="B2" s="4"/>
      <c r="C2" s="5"/>
      <c r="D2" s="4"/>
      <c r="E2" s="4"/>
      <c r="F2" s="4"/>
      <c r="G2" s="4"/>
      <c r="H2" s="4"/>
    </row>
    <row r="3" spans="1:9" ht="13" x14ac:dyDescent="0.3">
      <c r="D3" s="6"/>
    </row>
    <row r="4" spans="1:9" ht="13" x14ac:dyDescent="0.3">
      <c r="D4" s="9"/>
    </row>
    <row r="8" spans="1:9" ht="12.75" customHeight="1" x14ac:dyDescent="0.25">
      <c r="A8" s="84" t="s">
        <v>93</v>
      </c>
      <c r="B8" s="156" t="str">
        <f>main!B8</f>
        <v>1102-05882/CE/19-20 Dated 23/01/2020</v>
      </c>
      <c r="C8" s="157"/>
      <c r="D8" s="157"/>
      <c r="E8" s="157"/>
      <c r="F8" s="260" t="s">
        <v>45</v>
      </c>
      <c r="G8" s="281" t="str">
        <f>main!G8</f>
        <v>NE-003 (28+5B) MULTISTORIED COMMERCIAL BUILDING</v>
      </c>
      <c r="H8" s="281"/>
      <c r="I8" s="281"/>
    </row>
    <row r="9" spans="1:9" x14ac:dyDescent="0.25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60"/>
      <c r="G9" s="281"/>
      <c r="H9" s="281"/>
      <c r="I9" s="281"/>
    </row>
    <row r="10" spans="1:9" x14ac:dyDescent="0.25">
      <c r="A10" s="84" t="s">
        <v>94</v>
      </c>
      <c r="B10" s="156" t="str">
        <f>main!B10</f>
        <v>Letter Dated 23/01/2020</v>
      </c>
      <c r="C10" s="156"/>
      <c r="D10" s="156"/>
      <c r="E10" s="156"/>
      <c r="F10" s="260"/>
      <c r="G10" s="281"/>
      <c r="H10" s="281"/>
      <c r="I10" s="281"/>
    </row>
    <row r="11" spans="1:9" x14ac:dyDescent="0.25">
      <c r="A11" s="98" t="s">
        <v>97</v>
      </c>
      <c r="B11" s="97"/>
      <c r="C11" s="156">
        <f>main!C11</f>
        <v>2</v>
      </c>
      <c r="D11" s="158"/>
      <c r="E11" s="99"/>
      <c r="F11" s="260"/>
      <c r="G11" s="281"/>
      <c r="H11" s="281"/>
      <c r="I11" s="281"/>
    </row>
    <row r="12" spans="1:9" x14ac:dyDescent="0.25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5">
      <c r="A13" s="98" t="s">
        <v>99</v>
      </c>
      <c r="B13" s="89"/>
      <c r="C13" s="106" t="str">
        <f>main!C13</f>
        <v>2.0m - 2.5m</v>
      </c>
      <c r="D13" s="53"/>
      <c r="E13" s="99"/>
      <c r="F13" s="282" t="s">
        <v>100</v>
      </c>
      <c r="G13" s="281" t="str">
        <f>main!G13</f>
        <v>ASTM D422, D854, D1140, D6913, D7928</v>
      </c>
      <c r="H13" s="281"/>
      <c r="I13" s="281"/>
    </row>
    <row r="14" spans="1:9" x14ac:dyDescent="0.25">
      <c r="A14" s="98" t="s">
        <v>102</v>
      </c>
      <c r="B14" s="89"/>
      <c r="C14" s="106"/>
      <c r="D14" s="283" t="str">
        <f>main!D14</f>
        <v>Red Silty Clay</v>
      </c>
      <c r="E14" s="283"/>
      <c r="F14" s="282"/>
      <c r="G14" s="281"/>
      <c r="H14" s="281"/>
      <c r="I14" s="281"/>
    </row>
    <row r="15" spans="1:9" ht="15.5" x14ac:dyDescent="0.35">
      <c r="B15" s="81"/>
      <c r="C15" s="23"/>
      <c r="D15" s="283"/>
      <c r="E15" s="283"/>
      <c r="G15" s="1"/>
    </row>
    <row r="16" spans="1:9" ht="17.25" customHeight="1" x14ac:dyDescent="0.25">
      <c r="A16" s="280" t="s">
        <v>95</v>
      </c>
      <c r="B16" s="280"/>
      <c r="C16" s="280"/>
      <c r="D16" s="280"/>
      <c r="E16" s="280"/>
      <c r="F16" s="280"/>
      <c r="G16" s="280"/>
      <c r="H16" s="280"/>
      <c r="I16" s="280"/>
    </row>
    <row r="17" spans="1:9" ht="10" customHeight="1" x14ac:dyDescent="0.25">
      <c r="C17" s="1"/>
      <c r="D17" s="8"/>
      <c r="E17" s="1"/>
      <c r="F17" s="1"/>
      <c r="G17" s="1"/>
    </row>
    <row r="18" spans="1:9" ht="10" customHeight="1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ht="10" customHeight="1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ht="10" customHeight="1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ht="10" customHeight="1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ht="10" customHeight="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ht="10" customHeight="1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5"/>
    <row r="25" spans="1:9" ht="16.5" customHeight="1" x14ac:dyDescent="0.25"/>
    <row r="26" spans="1:9" ht="18" customHeight="1" x14ac:dyDescent="0.25"/>
    <row r="27" spans="1:9" ht="21" customHeight="1" x14ac:dyDescent="0.25">
      <c r="B27" s="1"/>
      <c r="C27" s="1"/>
      <c r="D27" s="1"/>
      <c r="E27" s="1"/>
      <c r="F27" s="1"/>
      <c r="G27" s="1"/>
    </row>
    <row r="28" spans="1:9" ht="20.149999999999999" customHeight="1" x14ac:dyDescent="0.25"/>
    <row r="29" spans="1:9" ht="20.149999999999999" customHeight="1" x14ac:dyDescent="0.25"/>
    <row r="30" spans="1:9" ht="20.149999999999999" customHeight="1" x14ac:dyDescent="0.25"/>
    <row r="31" spans="1:9" ht="20.149999999999999" customHeight="1" x14ac:dyDescent="0.25"/>
    <row r="32" spans="1:9" ht="20.149999999999999" customHeight="1" x14ac:dyDescent="0.25"/>
    <row r="33" spans="1:10" ht="20.149999999999999" customHeight="1" x14ac:dyDescent="0.25">
      <c r="J33" s="22"/>
    </row>
    <row r="34" spans="1:10" ht="20.149999999999999" customHeight="1" x14ac:dyDescent="0.25"/>
    <row r="35" spans="1:10" ht="20.149999999999999" customHeight="1" x14ac:dyDescent="0.25"/>
    <row r="36" spans="1:10" ht="20.149999999999999" customHeight="1" x14ac:dyDescent="0.25"/>
    <row r="37" spans="1:10" ht="20.149999999999999" customHeight="1" x14ac:dyDescent="0.25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 t="str">
        <f>'Some Calculations'!F13</f>
        <v>---</v>
      </c>
      <c r="G37" s="143" t="s">
        <v>8</v>
      </c>
      <c r="H37" s="143"/>
      <c r="I37" s="143"/>
    </row>
    <row r="38" spans="1:10" ht="20.149999999999999" customHeight="1" x14ac:dyDescent="0.25">
      <c r="A38" s="143" t="s">
        <v>107</v>
      </c>
      <c r="B38" s="143"/>
      <c r="C38" s="171">
        <f>'Some Calculations'!J5</f>
        <v>2.98</v>
      </c>
      <c r="D38" s="143" t="s">
        <v>125</v>
      </c>
      <c r="E38" s="143" t="s">
        <v>136</v>
      </c>
      <c r="F38" s="145">
        <f>'Some Calculations'!F14</f>
        <v>6.0000000000000001E-3</v>
      </c>
      <c r="G38" s="143" t="s">
        <v>8</v>
      </c>
      <c r="H38" s="143"/>
      <c r="I38" s="143"/>
    </row>
    <row r="39" spans="1:10" ht="20.149999999999999" customHeight="1" x14ac:dyDescent="0.25">
      <c r="A39" s="143" t="s">
        <v>109</v>
      </c>
      <c r="B39" s="143"/>
      <c r="C39" s="171">
        <f>'Some Calculations'!J6</f>
        <v>6.02</v>
      </c>
      <c r="D39" s="143" t="s">
        <v>125</v>
      </c>
      <c r="E39" s="143" t="s">
        <v>137</v>
      </c>
      <c r="F39" s="145">
        <f>'Some Calculations'!F15</f>
        <v>2.8000000000000001E-2</v>
      </c>
      <c r="G39" s="143" t="s">
        <v>8</v>
      </c>
      <c r="H39" s="143"/>
      <c r="I39" s="143"/>
    </row>
    <row r="40" spans="1:10" ht="20.149999999999999" customHeight="1" x14ac:dyDescent="0.25">
      <c r="A40" s="143" t="s">
        <v>110</v>
      </c>
      <c r="B40" s="143"/>
      <c r="C40" s="171">
        <f>'Some Calculations'!J7</f>
        <v>64.19</v>
      </c>
      <c r="D40" s="143" t="s">
        <v>125</v>
      </c>
      <c r="E40" s="143" t="s">
        <v>134</v>
      </c>
      <c r="F40" s="143"/>
      <c r="G40" s="143"/>
      <c r="H40" s="172" t="str">
        <f>'Some Calculations'!G14</f>
        <v>---</v>
      </c>
      <c r="I40" s="143"/>
    </row>
    <row r="41" spans="1:10" ht="20.149999999999999" customHeight="1" x14ac:dyDescent="0.25">
      <c r="A41" s="143" t="s">
        <v>111</v>
      </c>
      <c r="B41" s="143"/>
      <c r="C41" s="171">
        <f>'Some Calculations'!L8</f>
        <v>26.81</v>
      </c>
      <c r="D41" s="143" t="s">
        <v>125</v>
      </c>
      <c r="E41" s="143" t="s">
        <v>133</v>
      </c>
      <c r="F41" s="143"/>
      <c r="G41" s="143"/>
      <c r="H41" s="172" t="str">
        <f>'Some Calculations'!H14</f>
        <v>---</v>
      </c>
      <c r="I41" s="143"/>
    </row>
    <row r="42" spans="1:10" ht="20.149999999999999" customHeight="1" x14ac:dyDescent="0.25">
      <c r="A42" s="182" t="s">
        <v>152</v>
      </c>
      <c r="B42" s="144"/>
      <c r="C42" s="183">
        <f>'Some Calculations'!F16</f>
        <v>1.7000000000000001E-2</v>
      </c>
      <c r="D42" s="182" t="s">
        <v>8</v>
      </c>
      <c r="E42" s="143" t="s">
        <v>151</v>
      </c>
      <c r="F42" s="143"/>
      <c r="G42" s="144"/>
      <c r="H42" s="143">
        <f>main!GS</f>
        <v>6.05</v>
      </c>
      <c r="I42" s="143"/>
    </row>
    <row r="43" spans="1:10" ht="20.149999999999999" customHeight="1" x14ac:dyDescent="0.25">
      <c r="A43" s="82"/>
      <c r="B43" s="82"/>
      <c r="C43" s="82"/>
      <c r="D43" s="82"/>
      <c r="E43" s="82"/>
      <c r="F43" s="82"/>
      <c r="G43" s="82"/>
      <c r="H43" s="82"/>
      <c r="I43" s="82"/>
    </row>
    <row r="44" spans="1:10" ht="13" x14ac:dyDescent="0.3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5"/>
    <row r="46" spans="1:10" ht="15.75" customHeight="1" x14ac:dyDescent="0.25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5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5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5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5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input-output</vt:lpstr>
      <vt:lpstr>output-table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Md Nasir Uddin</cp:lastModifiedBy>
  <cp:lastPrinted>2015-10-16T12:06:54Z</cp:lastPrinted>
  <dcterms:created xsi:type="dcterms:W3CDTF">2000-01-03T08:46:43Z</dcterms:created>
  <dcterms:modified xsi:type="dcterms:W3CDTF">2022-01-06T16:42:58Z</dcterms:modified>
</cp:coreProperties>
</file>