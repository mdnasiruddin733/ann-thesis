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5023BC73-C080-49DA-A7F9-3426E36D594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8" i="33" l="1"/>
  <c r="N27" i="33"/>
  <c r="E28" i="33"/>
  <c r="E29" i="33"/>
  <c r="D28" i="33"/>
  <c r="G28" i="33"/>
  <c r="E30" i="33" l="1"/>
  <c r="F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4" i="34"/>
  <c r="J5" i="34" s="1"/>
  <c r="J6" i="34" s="1"/>
  <c r="J7" i="34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J3" i="34"/>
  <c r="D16" i="33"/>
  <c r="D17" i="33"/>
  <c r="D18" i="33"/>
  <c r="D19" i="33"/>
  <c r="E16" i="33"/>
  <c r="O28" i="33"/>
  <c r="N28" i="33"/>
  <c r="M28" i="33"/>
  <c r="O27" i="33"/>
  <c r="M27" i="33"/>
  <c r="H29" i="33"/>
  <c r="G29" i="33"/>
  <c r="F29" i="33"/>
  <c r="D29" i="33"/>
  <c r="E19" i="33" l="1"/>
  <c r="E18" i="33"/>
  <c r="E17" i="33"/>
  <c r="D30" i="33"/>
  <c r="O29" i="33"/>
  <c r="F30" i="33"/>
  <c r="H30" i="33"/>
  <c r="M29" i="33"/>
  <c r="G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<sst xmlns="http://schemas.openxmlformats.org/spreadsheetml/2006/main" count="405" uniqueCount="218">
  <si>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</si>
  <si>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</si>
  <si>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</si>
  <si>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</si>
  <si>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</si>
  <si>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</si>
  <si>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</si>
  <si>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</si>
  <si>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</si>
  <si>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</si>
  <si>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</si>
  <si>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</si>
  <si>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</si>
  <si>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</si>
  <si>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</si>
  <si>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</si>
  <si>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</si>
  <si>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</si>
  <si>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</si>
  <si>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</si>
  <si>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</si>
  <si>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</si>
  <si>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</si>
  <si>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</si>
  <si>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</si>
  <si>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</si>
  <si>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</si>
  <si>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</si>
  <si>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</si>
  <si>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</si>
  <si>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</si>
  <si>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</si>
  <si>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</si>
  <si>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</si>
  <si>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</si>
  <si>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</si>
  <si>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</si>
  <si>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</si>
  <si>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</si>
  <si>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</si>
  <si>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</si>
  <si>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</si>
  <si>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</si>
  <si>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</si>
  <si>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</si>
  <si>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</si>
  <si>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</si>
  <si>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</si>
  <si>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</si>
  <si>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</si>
  <si>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</si>
  <si>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</si>
  <si>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</si>
  <si>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</si>
  <si>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</si>
  <si>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</si>
  <si>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</si>
  <si>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</si>
  <si>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</si>
  <si>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</si>
  <si>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</si>
  <si>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</si>
  <si>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</si>
  <si>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</si>
  <si>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</si>
  <si>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</si>
  <si>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</si>
  <si>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</si>
  <si>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</si>
  <si>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</si>
  <si>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</si>
  <si>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</si>
  <si>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</si>
  <si>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</si>
  <si>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</si>
  <si>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</si>
  <si>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</si>
  <si>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</si>
  <si>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</si>
  <si>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</si>
  <si>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</si>
  <si>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</si>
  <si>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</si>
  <si>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</si>
  <si>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</si>
  <si>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</si>
  <si>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</si>
  <si>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</si>
  <si>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</si>
  <si>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</si>
  <si>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</si>
  <si>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</si>
  <si>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</si>
  <si>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</si>
  <si>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</si>
  <si>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</si>
  <si>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</si>
  <si>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</si>
  <si>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</si>
  <si>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</si>
  <si>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</si>
  <si>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</si>
  <si>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</si>
  <si>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</si>
  <si>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</si>
  <si>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</si>
  <si>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</si>
  <si>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</si>
  <si>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</si>
  <si>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</si>
  <si>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</si>
  <si>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</si>
  <si>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</si>
  <si>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</si>
  <si>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</si>
  <si>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</si>
  <si>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</si>
  <si>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</si>
  <si>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</si>
  <si>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</si>
  <si>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</si>
  <si>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</si>
  <si>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</si>
  <si>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</si>
  <si>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</si>
  <si>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</si>
  <si>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</si>
  <si>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</si>
  <si>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</si>
  <si>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</si>
  <si>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</si>
  <si>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</si>
  <si>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</si>
  <si>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</si>
  <si>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</si>
  <si>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</si>
  <si>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</si>
  <si>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</si>
  <si>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</si>
  <si>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</si>
  <si>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</si>
  <si>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</si>
  <si>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</si>
  <si>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</si>
  <si>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</si>
  <si>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</si>
  <si>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</si>
  <si>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</si>
  <si>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</si>
  <si>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</si>
  <si>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</si>
  <si>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</si>
  <si>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</si>
  <si>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</si>
  <si>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</si>
  <si>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</si>
  <si>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</si>
  <si>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</si>
  <si>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</si>
  <si>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</si>
  <si>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</si>
  <si>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</si>
  <si>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</si>
  <si>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</si>
  <si>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</si>
  <si>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</si>
  <si>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</si>
  <si>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</si>
  <si>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</si>
  <si>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</si>
  <si>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</si>
  <si>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</si>
  <si>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</si>
  <si>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</si>
  <si>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</si>
  <si>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</si>
  <si>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</si>
  <si>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</si>
  <si>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</si>
  <si>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</si>
  <si>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</si>
  <si>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</si>
  <si>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</si>
  <si>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</si>
  <si>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</si>
  <si>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</si>
  <si>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</si>
  <si>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</si>
  <si>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</si>
  <si>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</si>
  <si>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</si>
  <si>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</si>
  <si>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</si>
  <si>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</si>
  <si>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</si>
  <si>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</si>
  <si>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</si>
  <si>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</si>
  <si>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</si>
  <si>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</si>
  <si>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D-25,26</t>
  </si>
  <si>
    <t>D-29,30,31</t>
  </si>
  <si>
    <t>D-29</t>
  </si>
  <si>
    <t>D-31</t>
  </si>
  <si>
    <t>UD-2</t>
  </si>
  <si>
    <t>D-3,4,5</t>
  </si>
  <si>
    <t>D-23,24,25</t>
  </si>
  <si>
    <t>D-26,27,28</t>
  </si>
  <si>
    <t>D-1,2,3</t>
  </si>
  <si>
    <t>D-30,31,32</t>
  </si>
  <si>
    <t>D-24</t>
  </si>
  <si>
    <t>start from 120-24,25,26</t>
  </si>
  <si>
    <t>24,25,26</t>
  </si>
  <si>
    <t>D-26,27</t>
  </si>
  <si>
    <t>d-21,22</t>
  </si>
  <si>
    <t>D-27,28</t>
  </si>
  <si>
    <t>D-27,28,29</t>
  </si>
  <si>
    <t>D-33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</si>
</sst>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3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2" fontId="2" fillId="2" borderId="40" xfId="0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5.2409999999999998E-2</c:v>
                </c:pt>
                <c:pt idx="8">
                  <c:v>3.8030000000000001E-2</c:v>
                </c:pt>
                <c:pt idx="9">
                  <c:v>2.7560000000000001E-2</c:v>
                </c:pt>
                <c:pt idx="10">
                  <c:v>1.9859999999999999E-2</c:v>
                </c:pt>
                <c:pt idx="11">
                  <c:v>1.443E-2</c:v>
                </c:pt>
                <c:pt idx="12">
                  <c:v>1.086E-2</c:v>
                </c:pt>
                <c:pt idx="13">
                  <c:v>7.8600000000000007E-3</c:v>
                </c:pt>
                <c:pt idx="14">
                  <c:v>5.6899999999999997E-3</c:v>
                </c:pt>
                <c:pt idx="15">
                  <c:v>4.0800000000000003E-3</c:v>
                </c:pt>
                <c:pt idx="16">
                  <c:v>2.9399999999999999E-3</c:v>
                </c:pt>
                <c:pt idx="17">
                  <c:v>2.1199999999999999E-3</c:v>
                </c:pt>
                <c:pt idx="18">
                  <c:v>1.24E-3</c:v>
                </c:pt>
                <c:pt idx="19">
                  <c:v>8.8000000000000003E-4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98.7</c:v>
                </c:pt>
                <c:pt idx="6" formatCode="0.00">
                  <c:v>97.9</c:v>
                </c:pt>
                <c:pt idx="7" formatCode="0.00">
                  <c:v>80.37436492800002</c:v>
                </c:pt>
                <c:pt idx="8" formatCode="0.00">
                  <c:v>75.544174728000002</c:v>
                </c:pt>
                <c:pt idx="9" formatCode="0.00">
                  <c:v>69.747946487999982</c:v>
                </c:pt>
                <c:pt idx="10" formatCode="0.00">
                  <c:v>63.951718248000013</c:v>
                </c:pt>
                <c:pt idx="11" formatCode="0.00">
                  <c:v>57.189451968000014</c:v>
                </c:pt>
                <c:pt idx="12" formatCode="0.00">
                  <c:v>49.461147648000008</c:v>
                </c:pt>
                <c:pt idx="13" formatCode="0.00">
                  <c:v>41.732843328000008</c:v>
                </c:pt>
                <c:pt idx="14" formatCode="0.00">
                  <c:v>34.97057704800001</c:v>
                </c:pt>
                <c:pt idx="15" formatCode="0.00">
                  <c:v>30.140386848000002</c:v>
                </c:pt>
                <c:pt idx="16" formatCode="0.00">
                  <c:v>24.344158608000001</c:v>
                </c:pt>
                <c:pt idx="17" formatCode="0.00">
                  <c:v>17.581892328000002</c:v>
                </c:pt>
                <c:pt idx="18" formatCode="0.00">
                  <c:v>16.615854288000001</c:v>
                </c:pt>
                <c:pt idx="19" formatCode="0.00">
                  <c:v>14.683778208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39</v>
          </cell>
        </row>
        <row r="45">
          <cell r="I45">
            <v>22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25" workbookViewId="0">
      <selection activeCell="J36" sqref="J36:P36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8164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19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48" t="s">
        <v>187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5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46</v>
      </c>
      <c r="H5" s="26">
        <v>30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43</v>
      </c>
      <c r="H6" s="26">
        <v>29</v>
      </c>
      <c r="I6" s="251" t="s">
        <v>21</v>
      </c>
      <c r="J6" s="252"/>
      <c r="K6" s="252"/>
      <c r="L6" s="253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40.5</v>
      </c>
      <c r="H7" s="26">
        <v>29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37.5</v>
      </c>
      <c r="H8" s="26">
        <v>29</v>
      </c>
      <c r="I8" s="119" t="s">
        <v>22</v>
      </c>
      <c r="J8" s="34"/>
      <c r="K8" s="34"/>
      <c r="L8" s="120">
        <v>373.3</v>
      </c>
      <c r="M8" s="118"/>
      <c r="N8" s="225"/>
      <c r="O8" s="231"/>
      <c r="P8" s="225"/>
    </row>
    <row r="9" spans="1:16" x14ac:dyDescent="0.25">
      <c r="A9" s="117"/>
      <c r="B9" s="187">
        <v>30</v>
      </c>
      <c r="C9" s="195">
        <v>0</v>
      </c>
      <c r="D9" s="34"/>
      <c r="F9" s="26">
        <v>4</v>
      </c>
      <c r="G9" s="26">
        <v>34.5</v>
      </c>
      <c r="H9" s="26">
        <v>29</v>
      </c>
      <c r="I9" s="119" t="s">
        <v>23</v>
      </c>
      <c r="J9" s="34"/>
      <c r="K9" s="34"/>
      <c r="L9" s="120">
        <v>29</v>
      </c>
      <c r="M9" s="118"/>
      <c r="N9" s="225"/>
      <c r="O9" s="223"/>
    </row>
    <row r="10" spans="1:16" ht="13.5" x14ac:dyDescent="0.35">
      <c r="A10" s="117"/>
      <c r="B10" s="187">
        <v>50</v>
      </c>
      <c r="C10" s="195">
        <v>0</v>
      </c>
      <c r="D10" s="34"/>
      <c r="F10" s="26">
        <v>8</v>
      </c>
      <c r="G10" s="26">
        <v>31</v>
      </c>
      <c r="H10" s="26">
        <v>29</v>
      </c>
      <c r="I10" s="119" t="s">
        <v>24</v>
      </c>
      <c r="J10" s="34"/>
      <c r="K10" s="34"/>
      <c r="L10" s="120">
        <v>342.2</v>
      </c>
      <c r="M10" s="118"/>
      <c r="N10" s="225"/>
      <c r="O10" s="230"/>
    </row>
    <row r="11" spans="1:16" ht="13.5" x14ac:dyDescent="0.35">
      <c r="A11" s="117"/>
      <c r="B11" s="187">
        <v>100</v>
      </c>
      <c r="C11" s="195">
        <v>1.3</v>
      </c>
      <c r="D11" s="34"/>
      <c r="F11" s="26">
        <v>15</v>
      </c>
      <c r="G11" s="26">
        <v>27</v>
      </c>
      <c r="H11" s="26">
        <v>29</v>
      </c>
      <c r="I11" s="119" t="s">
        <v>25</v>
      </c>
      <c r="J11" s="34"/>
      <c r="K11" s="34"/>
      <c r="L11" s="120">
        <v>49.2</v>
      </c>
      <c r="M11" s="118"/>
      <c r="N11" s="225"/>
      <c r="O11" s="230"/>
      <c r="P11" s="227"/>
    </row>
    <row r="12" spans="1:16" x14ac:dyDescent="0.25">
      <c r="A12" s="117"/>
      <c r="B12" s="187">
        <v>200</v>
      </c>
      <c r="C12" s="195">
        <v>0.8</v>
      </c>
      <c r="D12" s="34"/>
      <c r="F12" s="26">
        <v>30</v>
      </c>
      <c r="G12" s="26">
        <v>23</v>
      </c>
      <c r="H12" s="26">
        <v>29</v>
      </c>
      <c r="I12" s="121" t="s">
        <v>26</v>
      </c>
      <c r="J12" s="34"/>
      <c r="K12" s="34"/>
      <c r="L12" s="118">
        <f>ROUND(-0.000005006464124*L9^2-0.00000484550743*L9+1.00033065352292,5)</f>
        <v>0.99597999999999998</v>
      </c>
      <c r="M12" s="118"/>
      <c r="N12" s="225"/>
      <c r="P12" s="224"/>
    </row>
    <row r="13" spans="1:16" ht="13" thickBot="1" x14ac:dyDescent="0.3">
      <c r="A13" s="117"/>
      <c r="B13" s="188" t="s">
        <v>157</v>
      </c>
      <c r="C13" s="250">
        <v>97.9</v>
      </c>
      <c r="D13" s="34"/>
      <c r="F13" s="26">
        <v>60</v>
      </c>
      <c r="G13" s="26">
        <v>19.5</v>
      </c>
      <c r="H13" s="26">
        <v>29</v>
      </c>
      <c r="I13" s="122" t="s">
        <v>27</v>
      </c>
      <c r="J13" s="123"/>
      <c r="K13" s="123"/>
      <c r="L13" s="124">
        <f>MROUND((L12*L11)/(L11-L8+L10),0.01)</f>
        <v>2.71</v>
      </c>
      <c r="M13" s="118"/>
      <c r="P13" s="222"/>
    </row>
    <row r="14" spans="1:16" x14ac:dyDescent="0.25">
      <c r="A14" s="117"/>
      <c r="D14" s="34"/>
      <c r="F14" s="26">
        <v>120</v>
      </c>
      <c r="G14" s="26">
        <v>17</v>
      </c>
      <c r="H14" s="26">
        <v>29</v>
      </c>
      <c r="I14" s="34"/>
      <c r="J14" s="34"/>
      <c r="K14" s="34"/>
      <c r="L14" s="34"/>
      <c r="M14" s="118"/>
      <c r="P14" s="223"/>
    </row>
    <row r="15" spans="1:16" x14ac:dyDescent="0.25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14</v>
      </c>
      <c r="H15" s="26">
        <v>29</v>
      </c>
      <c r="I15" s="34"/>
      <c r="J15" s="34"/>
      <c r="K15" s="34"/>
      <c r="L15" s="34"/>
      <c r="M15" s="118"/>
      <c r="O15" s="232"/>
      <c r="P15" s="229"/>
    </row>
    <row r="16" spans="1:16" x14ac:dyDescent="0.25">
      <c r="A16" s="117"/>
      <c r="B16" s="236">
        <v>36892</v>
      </c>
      <c r="C16" s="237">
        <v>0.23263888888888887</v>
      </c>
      <c r="D16" s="238" t="str">
        <f>CONCATENATE(TEXT(B16,"mm/dd/yy"),TEXT(C16," hh:mm"), " PM")</f>
        <v>01/01/01 05:35 PM</v>
      </c>
      <c r="E16" s="241">
        <f>F16</f>
        <v>480</v>
      </c>
      <c r="F16" s="233">
        <v>480</v>
      </c>
      <c r="G16" s="244">
        <v>12.5</v>
      </c>
      <c r="H16" s="26">
        <v>29</v>
      </c>
      <c r="I16" s="34"/>
      <c r="J16" s="34"/>
      <c r="K16" s="34"/>
      <c r="L16" s="34"/>
      <c r="M16" s="118"/>
      <c r="P16" s="228"/>
    </row>
    <row r="17" spans="1:16" x14ac:dyDescent="0.25">
      <c r="A17" s="117"/>
      <c r="B17" s="236">
        <v>36893</v>
      </c>
      <c r="C17" s="237">
        <v>0.37708333333333338</v>
      </c>
      <c r="D17" s="238" t="str">
        <f>CONCATENATE(TEXT(B17,"mm/dd/yy"),TEXT(C17," hh:mm"), " AM")</f>
        <v>01/02/01 09:03 AM</v>
      </c>
      <c r="E17" s="239">
        <f>D17-D16</f>
        <v>0.6444444444423425</v>
      </c>
      <c r="F17" s="234">
        <v>1408</v>
      </c>
      <c r="G17" s="26">
        <v>10.5</v>
      </c>
      <c r="H17" s="26">
        <v>29</v>
      </c>
      <c r="I17" s="242"/>
      <c r="J17" s="240"/>
      <c r="K17" s="34"/>
      <c r="L17" s="34"/>
      <c r="M17" s="118"/>
      <c r="P17" s="223"/>
    </row>
    <row r="18" spans="1:16" x14ac:dyDescent="0.25">
      <c r="A18" s="117"/>
      <c r="B18" s="236">
        <v>36894</v>
      </c>
      <c r="C18" s="237">
        <v>0.38125000000000003</v>
      </c>
      <c r="D18" s="238" t="str">
        <f>CONCATENATE(TEXT(B18,"mm/dd/yy"),TEXT(C18," hh:mm"), " AM")</f>
        <v>01/03/01 09:09 AM</v>
      </c>
      <c r="E18" s="239">
        <f t="shared" ref="E18:E19" si="0">D18-D17</f>
        <v>1.0041666666656965</v>
      </c>
      <c r="F18" s="233">
        <v>2854</v>
      </c>
      <c r="G18" s="26">
        <v>10</v>
      </c>
      <c r="H18" s="26">
        <v>29</v>
      </c>
      <c r="I18" s="34"/>
      <c r="J18" s="240"/>
      <c r="K18" s="34"/>
      <c r="L18" s="34"/>
      <c r="M18" s="118"/>
      <c r="P18" s="226"/>
    </row>
    <row r="19" spans="1:16" x14ac:dyDescent="0.25">
      <c r="A19" s="117"/>
      <c r="B19" s="236">
        <v>36895</v>
      </c>
      <c r="C19" s="237">
        <v>0.39652777777777781</v>
      </c>
      <c r="D19" s="238" t="str">
        <f>CONCATENATE(TEXT(B19,"mm/dd/yy"),TEXT(C19," hh:mm"), " AM")</f>
        <v>01/04/01 09:31 AM</v>
      </c>
      <c r="E19" s="239">
        <f t="shared" si="0"/>
        <v>1.015277777776646</v>
      </c>
      <c r="F19" s="233">
        <v>4316</v>
      </c>
      <c r="G19" s="26">
        <v>9</v>
      </c>
      <c r="H19" s="26">
        <v>29</v>
      </c>
      <c r="I19" s="34"/>
      <c r="J19" s="240"/>
      <c r="K19" s="34"/>
      <c r="L19" s="34"/>
      <c r="M19" s="118"/>
      <c r="P19" s="223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20</v>
      </c>
      <c r="F24" s="200">
        <v>24</v>
      </c>
      <c r="G24" s="200">
        <v>30</v>
      </c>
      <c r="H24" s="200">
        <v>35</v>
      </c>
      <c r="J24" s="201" t="s">
        <v>163</v>
      </c>
      <c r="K24" s="71"/>
      <c r="L24" s="197"/>
      <c r="M24" s="205">
        <v>10.07</v>
      </c>
      <c r="N24" s="205">
        <v>8.74</v>
      </c>
      <c r="O24" s="202">
        <v>9.41</v>
      </c>
    </row>
    <row r="25" spans="1:16" x14ac:dyDescent="0.25">
      <c r="B25" s="201" t="s">
        <v>163</v>
      </c>
      <c r="C25" s="201"/>
      <c r="D25" s="202">
        <v>10.68</v>
      </c>
      <c r="E25" s="202">
        <v>9.98</v>
      </c>
      <c r="F25" s="202">
        <v>9.17</v>
      </c>
      <c r="G25" s="202">
        <v>9.18</v>
      </c>
      <c r="H25" s="202">
        <v>8.99</v>
      </c>
      <c r="J25" s="201" t="s">
        <v>170</v>
      </c>
      <c r="K25" s="206"/>
      <c r="L25" s="37"/>
      <c r="M25" s="205">
        <v>49.01</v>
      </c>
      <c r="N25" s="205">
        <v>50.12</v>
      </c>
      <c r="O25" s="202">
        <v>47.94</v>
      </c>
    </row>
    <row r="26" spans="1:16" x14ac:dyDescent="0.25">
      <c r="B26" s="201" t="s">
        <v>164</v>
      </c>
      <c r="C26" s="14"/>
      <c r="D26" s="202">
        <v>47.32</v>
      </c>
      <c r="E26" s="202">
        <v>47.87</v>
      </c>
      <c r="F26" s="202">
        <v>46.09</v>
      </c>
      <c r="G26" s="202">
        <v>44.19</v>
      </c>
      <c r="H26" s="202">
        <v>42.68</v>
      </c>
      <c r="J26" s="201" t="s">
        <v>171</v>
      </c>
      <c r="K26" s="71"/>
      <c r="L26" s="207"/>
      <c r="M26" s="205">
        <v>42.12</v>
      </c>
      <c r="N26" s="205">
        <v>42.77</v>
      </c>
      <c r="O26" s="202">
        <v>41.09</v>
      </c>
    </row>
    <row r="27" spans="1:16" x14ac:dyDescent="0.25">
      <c r="B27" s="201" t="s">
        <v>165</v>
      </c>
      <c r="C27" s="201"/>
      <c r="D27" s="202">
        <v>36.76</v>
      </c>
      <c r="E27" s="202">
        <v>37.15</v>
      </c>
      <c r="F27" s="202">
        <v>35.72</v>
      </c>
      <c r="G27" s="202">
        <v>34.520000000000003</v>
      </c>
      <c r="H27" s="202">
        <v>33.49</v>
      </c>
      <c r="J27" s="201" t="s">
        <v>172</v>
      </c>
      <c r="K27" s="71"/>
      <c r="L27" s="208"/>
      <c r="M27" s="201">
        <f>M25-M26</f>
        <v>6.8900000000000006</v>
      </c>
      <c r="N27" s="201">
        <f>N25-N26</f>
        <v>7.3499999999999943</v>
      </c>
      <c r="O27" s="201">
        <f>O25-O26</f>
        <v>6.8499999999999943</v>
      </c>
    </row>
    <row r="28" spans="1:16" ht="13.5" x14ac:dyDescent="0.35">
      <c r="B28" s="201" t="s">
        <v>166</v>
      </c>
      <c r="C28" s="201"/>
      <c r="D28" s="201">
        <f>D26-D27</f>
        <v>10.560000000000002</v>
      </c>
      <c r="E28" s="201">
        <f>E26-E27</f>
        <v>10.719999999999999</v>
      </c>
      <c r="F28" s="201">
        <f>F26-F27</f>
        <v>10.370000000000005</v>
      </c>
      <c r="G28" s="201">
        <f>G26-G27</f>
        <v>9.6699999999999946</v>
      </c>
      <c r="H28" s="201">
        <f>H26-H27</f>
        <v>9.1899999999999977</v>
      </c>
      <c r="J28" s="201" t="s">
        <v>173</v>
      </c>
      <c r="K28" s="71"/>
      <c r="L28" s="37"/>
      <c r="M28" s="201">
        <f>M26-M24</f>
        <v>32.049999999999997</v>
      </c>
      <c r="N28" s="201">
        <f>N26-N24</f>
        <v>34.03</v>
      </c>
      <c r="O28" s="201">
        <f>O26-O24</f>
        <v>31.680000000000003</v>
      </c>
    </row>
    <row r="29" spans="1:16" ht="13.5" x14ac:dyDescent="0.35">
      <c r="B29" s="201" t="s">
        <v>167</v>
      </c>
      <c r="C29" s="201"/>
      <c r="D29" s="201">
        <f>D27-D25</f>
        <v>26.08</v>
      </c>
      <c r="E29" s="201">
        <f>E27-E25</f>
        <v>27.169999999999998</v>
      </c>
      <c r="F29" s="201">
        <f>F27-F25</f>
        <v>26.549999999999997</v>
      </c>
      <c r="G29" s="201">
        <f>G27-G25</f>
        <v>25.340000000000003</v>
      </c>
      <c r="H29" s="201">
        <f>H27-H25</f>
        <v>24.5</v>
      </c>
      <c r="J29" s="201" t="s">
        <v>168</v>
      </c>
      <c r="K29" s="71"/>
      <c r="L29" s="37"/>
      <c r="M29" s="203">
        <f>M27/M28*100</f>
        <v>21.497659906396262</v>
      </c>
      <c r="N29" s="203">
        <f>N27/N28*100</f>
        <v>21.598589479870686</v>
      </c>
      <c r="O29" s="203">
        <f>O27/O28*100</f>
        <v>21.622474747474726</v>
      </c>
    </row>
    <row r="30" spans="1:16" x14ac:dyDescent="0.25">
      <c r="B30" s="201" t="s">
        <v>168</v>
      </c>
      <c r="C30" s="201"/>
      <c r="D30" s="203">
        <f>D28/D29*100</f>
        <v>40.490797546012281</v>
      </c>
      <c r="E30" s="203">
        <f>E28/E29*100</f>
        <v>39.455281560544719</v>
      </c>
      <c r="F30" s="203">
        <f>F28/F29*100</f>
        <v>39.058380414312637</v>
      </c>
      <c r="G30" s="203">
        <f>G28/G29*100</f>
        <v>38.161010260457751</v>
      </c>
      <c r="H30" s="203">
        <f>H28/H29*100</f>
        <v>37.510204081632644</v>
      </c>
    </row>
    <row r="34" spans="9:16" x14ac:dyDescent="0.25">
      <c r="J34" s="254" t="s">
        <v>177</v>
      </c>
      <c r="K34" s="254"/>
      <c r="L34" s="254"/>
      <c r="M34" s="254"/>
      <c r="N34" s="254"/>
      <c r="O34" s="254"/>
      <c r="P34" s="254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5" customHeight="1" x14ac:dyDescent="0.25">
      <c r="I36">
        <f>SUM(J36:L36)</f>
        <v>100</v>
      </c>
      <c r="J36" s="214">
        <f>Report!C39+Report!C38+Report!C37</f>
        <v>2.1</v>
      </c>
      <c r="K36" s="214">
        <f>Report!C40</f>
        <v>64.81</v>
      </c>
      <c r="L36" s="214">
        <f>Report!C41</f>
        <v>33.090000000000003</v>
      </c>
      <c r="M36" s="215">
        <f>[1]Report!$D$36</f>
        <v>39</v>
      </c>
      <c r="N36" s="215">
        <f>[1]Report!$I$45</f>
        <v>22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abSelected="1" topLeftCell="A48" workbookViewId="0">
      <selection activeCell="C61" sqref="C61:I61"/>
    </sheetView>
  </sheetViews>
  <sheetFormatPr defaultRowHeight="12.5" x14ac:dyDescent="0.25"/>
  <cols>
    <col min="1" max="1" width="12.81640625" customWidth="1"/>
    <col min="2" max="2" width="17.7265625" customWidth="1"/>
  </cols>
  <sheetData>
    <row r="1" spans="1:10" x14ac:dyDescent="0.25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5">
      <c r="A2" s="246">
        <v>59</v>
      </c>
      <c r="B2" s="246" t="s">
        <v>186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5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5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5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5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5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5" t="s">
        <v>211</v>
      </c>
      <c r="N17" s="256"/>
      <c r="O17" s="256"/>
      <c r="P17" s="256"/>
      <c r="Q17" s="257"/>
    </row>
    <row r="18" spans="1:17" x14ac:dyDescent="0.25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5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5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5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5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5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5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7" x14ac:dyDescent="0.25">
      <c r="A25" s="216">
        <v>90</v>
      </c>
      <c r="B25" s="216" t="s">
        <v>200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7" x14ac:dyDescent="0.25">
      <c r="A26" s="216">
        <v>91</v>
      </c>
      <c r="B26" s="216" t="s">
        <v>201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7" x14ac:dyDescent="0.25">
      <c r="A27" s="216">
        <v>92</v>
      </c>
      <c r="B27" s="216" t="s">
        <v>202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7" x14ac:dyDescent="0.25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7" x14ac:dyDescent="0.25">
      <c r="A29" s="216">
        <v>95</v>
      </c>
      <c r="B29" s="216" t="s">
        <v>203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7" x14ac:dyDescent="0.25">
      <c r="A30" s="216">
        <v>96</v>
      </c>
      <c r="B30" s="216" t="s">
        <v>204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7" x14ac:dyDescent="0.25">
      <c r="A31" s="216">
        <v>96</v>
      </c>
      <c r="B31" s="216" t="s">
        <v>205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7" x14ac:dyDescent="0.25">
      <c r="A32" s="216">
        <v>96</v>
      </c>
      <c r="B32" s="216" t="s">
        <v>206</v>
      </c>
      <c r="C32" s="216">
        <v>2</v>
      </c>
      <c r="D32" s="216">
        <v>80.19</v>
      </c>
      <c r="E32" s="216">
        <v>17.810000000000002</v>
      </c>
      <c r="F32" s="216">
        <v>38</v>
      </c>
      <c r="G32" s="216">
        <v>27</v>
      </c>
      <c r="H32" s="216">
        <v>2.42</v>
      </c>
      <c r="I32" s="216">
        <v>12.5</v>
      </c>
      <c r="J32">
        <f t="shared" si="0"/>
        <v>81</v>
      </c>
    </row>
    <row r="33" spans="1:10" x14ac:dyDescent="0.25">
      <c r="A33" s="216">
        <v>98</v>
      </c>
      <c r="B33" s="216" t="s">
        <v>191</v>
      </c>
      <c r="C33" s="216">
        <v>3.2</v>
      </c>
      <c r="D33" s="216">
        <v>64.3</v>
      </c>
      <c r="E33" s="216">
        <v>32.5</v>
      </c>
      <c r="F33" s="216">
        <v>50</v>
      </c>
      <c r="G33" s="216">
        <v>20</v>
      </c>
      <c r="H33" s="216" t="s">
        <v>184</v>
      </c>
      <c r="I33" s="216" t="s">
        <v>184</v>
      </c>
      <c r="J33">
        <f t="shared" si="0"/>
        <v>82</v>
      </c>
    </row>
    <row r="34" spans="1:10" x14ac:dyDescent="0.25">
      <c r="A34" s="216">
        <v>99</v>
      </c>
      <c r="B34" s="216" t="s">
        <v>207</v>
      </c>
      <c r="C34" s="216">
        <v>44.5</v>
      </c>
      <c r="D34" s="216">
        <v>41.14</v>
      </c>
      <c r="E34" s="216">
        <v>14.36</v>
      </c>
      <c r="F34" s="216">
        <v>27</v>
      </c>
      <c r="G34" s="216">
        <v>18</v>
      </c>
      <c r="H34" s="216">
        <v>1.43</v>
      </c>
      <c r="I34" s="216">
        <v>37.67</v>
      </c>
      <c r="J34">
        <f t="shared" si="0"/>
        <v>83</v>
      </c>
    </row>
    <row r="35" spans="1:10" x14ac:dyDescent="0.25">
      <c r="A35" s="216">
        <v>104</v>
      </c>
      <c r="B35" s="216" t="s">
        <v>208</v>
      </c>
      <c r="C35" s="216">
        <v>9.5</v>
      </c>
      <c r="D35" s="216">
        <v>75.22</v>
      </c>
      <c r="E35" s="216">
        <v>15.27</v>
      </c>
      <c r="F35" s="216">
        <v>38</v>
      </c>
      <c r="G35" s="216">
        <v>26</v>
      </c>
      <c r="H35" s="216">
        <v>2.96</v>
      </c>
      <c r="I35" s="216">
        <v>19</v>
      </c>
      <c r="J35">
        <f t="shared" si="0"/>
        <v>84</v>
      </c>
    </row>
    <row r="36" spans="1:10" x14ac:dyDescent="0.25">
      <c r="A36" s="216">
        <v>106</v>
      </c>
      <c r="B36" s="216" t="s">
        <v>187</v>
      </c>
      <c r="C36" s="216">
        <v>4.3</v>
      </c>
      <c r="D36" s="216">
        <v>67.87</v>
      </c>
      <c r="E36" s="216">
        <v>27.84</v>
      </c>
      <c r="F36" s="216">
        <v>39</v>
      </c>
      <c r="G36" s="216">
        <v>23</v>
      </c>
      <c r="H36" s="216" t="s">
        <v>184</v>
      </c>
      <c r="I36" s="216" t="s">
        <v>184</v>
      </c>
      <c r="J36">
        <f t="shared" si="0"/>
        <v>85</v>
      </c>
    </row>
    <row r="37" spans="1:10" x14ac:dyDescent="0.25">
      <c r="A37" s="216">
        <v>111</v>
      </c>
      <c r="B37" s="216" t="s">
        <v>198</v>
      </c>
      <c r="C37" s="216">
        <v>1.4</v>
      </c>
      <c r="D37" s="216">
        <v>57.7</v>
      </c>
      <c r="E37" s="216">
        <v>40.900000000000006</v>
      </c>
      <c r="F37" s="216">
        <v>56</v>
      </c>
      <c r="G37" s="216">
        <v>24</v>
      </c>
      <c r="H37" s="216" t="s">
        <v>184</v>
      </c>
      <c r="I37" s="216" t="s">
        <v>184</v>
      </c>
      <c r="J37">
        <f t="shared" si="0"/>
        <v>86</v>
      </c>
    </row>
    <row r="38" spans="1:10" x14ac:dyDescent="0.25">
      <c r="A38" s="216">
        <v>114</v>
      </c>
      <c r="B38" s="216" t="s">
        <v>209</v>
      </c>
      <c r="C38" s="216">
        <v>5.5</v>
      </c>
      <c r="D38" s="216">
        <v>65.06</v>
      </c>
      <c r="E38" s="216">
        <v>29.439999999999998</v>
      </c>
      <c r="F38" s="216">
        <v>39</v>
      </c>
      <c r="G38" s="216">
        <v>21</v>
      </c>
      <c r="H38" s="216" t="s">
        <v>184</v>
      </c>
      <c r="I38" s="216" t="s">
        <v>184</v>
      </c>
      <c r="J38">
        <f t="shared" si="0"/>
        <v>87</v>
      </c>
    </row>
    <row r="39" spans="1:10" x14ac:dyDescent="0.25">
      <c r="A39" s="216">
        <v>118</v>
      </c>
      <c r="B39" s="216" t="s">
        <v>198</v>
      </c>
      <c r="C39" s="216">
        <v>3.7</v>
      </c>
      <c r="D39" s="216">
        <v>69.44</v>
      </c>
      <c r="E39" s="216">
        <v>26.869999999999997</v>
      </c>
      <c r="F39" s="216">
        <v>41</v>
      </c>
      <c r="G39" s="216">
        <v>22</v>
      </c>
      <c r="H39" s="216" t="s">
        <v>184</v>
      </c>
      <c r="I39" s="216" t="s">
        <v>184</v>
      </c>
      <c r="J39">
        <f t="shared" si="0"/>
        <v>88</v>
      </c>
    </row>
    <row r="40" spans="1:10" x14ac:dyDescent="0.25">
      <c r="A40" s="216">
        <v>119</v>
      </c>
      <c r="B40" s="216" t="s">
        <v>210</v>
      </c>
      <c r="C40" s="216">
        <v>2.2999999999999998</v>
      </c>
      <c r="D40" s="216">
        <v>75.48</v>
      </c>
      <c r="E40" s="216">
        <v>22.22</v>
      </c>
      <c r="F40" s="216">
        <v>36</v>
      </c>
      <c r="G40" s="216">
        <v>28</v>
      </c>
      <c r="H40" s="216" t="s">
        <v>184</v>
      </c>
      <c r="I40" s="216" t="s">
        <v>184</v>
      </c>
      <c r="J40">
        <f t="shared" si="0"/>
        <v>89</v>
      </c>
    </row>
    <row r="41" spans="1:10" x14ac:dyDescent="0.25">
      <c r="A41" s="216">
        <v>119</v>
      </c>
      <c r="B41" s="216" t="s">
        <v>187</v>
      </c>
      <c r="C41" s="216">
        <v>5.4</v>
      </c>
      <c r="D41" s="216">
        <v>62.98</v>
      </c>
      <c r="E41" s="216">
        <v>31.62</v>
      </c>
      <c r="F41" s="216">
        <v>34</v>
      </c>
      <c r="G41" s="216">
        <v>21</v>
      </c>
      <c r="H41" s="216" t="s">
        <v>184</v>
      </c>
      <c r="I41" s="216" t="s">
        <v>184</v>
      </c>
      <c r="J41">
        <f t="shared" si="0"/>
        <v>90</v>
      </c>
    </row>
    <row r="42" spans="1:10" x14ac:dyDescent="0.25">
      <c r="A42" s="216">
        <v>120</v>
      </c>
      <c r="B42" s="216" t="s">
        <v>212</v>
      </c>
      <c r="C42" s="216">
        <v>40.200000000000003</v>
      </c>
      <c r="D42" s="216">
        <v>43.43</v>
      </c>
      <c r="E42" s="216">
        <v>16.36</v>
      </c>
      <c r="F42" s="216">
        <v>28</v>
      </c>
      <c r="G42" s="216">
        <v>20</v>
      </c>
      <c r="H42" s="216">
        <v>1.58</v>
      </c>
      <c r="I42" s="216">
        <v>40.5</v>
      </c>
      <c r="J42">
        <v>91</v>
      </c>
    </row>
    <row r="43" spans="1:10" x14ac:dyDescent="0.25">
      <c r="A43" s="216">
        <v>123</v>
      </c>
      <c r="B43" s="216" t="s">
        <v>187</v>
      </c>
      <c r="C43" s="216">
        <v>3.2</v>
      </c>
      <c r="D43" s="216">
        <v>66.27</v>
      </c>
      <c r="E43" s="216">
        <v>30.54</v>
      </c>
      <c r="F43" s="216">
        <v>36</v>
      </c>
      <c r="G43" s="216">
        <v>22</v>
      </c>
      <c r="H43" s="216" t="s">
        <v>184</v>
      </c>
      <c r="I43" s="216" t="s">
        <v>184</v>
      </c>
      <c r="J43">
        <v>92</v>
      </c>
    </row>
    <row r="44" spans="1:10" x14ac:dyDescent="0.25">
      <c r="A44" s="216">
        <v>127</v>
      </c>
      <c r="B44" s="216" t="s">
        <v>198</v>
      </c>
      <c r="C44" s="216">
        <v>1.5</v>
      </c>
      <c r="D44" s="216">
        <v>59.73</v>
      </c>
      <c r="E44" s="216">
        <v>38.770000000000003</v>
      </c>
      <c r="F44" s="216">
        <v>43</v>
      </c>
      <c r="G44" s="216">
        <v>20</v>
      </c>
      <c r="H44" s="216" t="s">
        <v>184</v>
      </c>
      <c r="I44" s="216" t="s">
        <v>184</v>
      </c>
      <c r="J44">
        <v>93</v>
      </c>
    </row>
    <row r="45" spans="1:10" x14ac:dyDescent="0.25">
      <c r="A45" s="216">
        <v>130</v>
      </c>
      <c r="B45" s="216" t="s">
        <v>213</v>
      </c>
      <c r="C45" s="216">
        <v>36.6</v>
      </c>
      <c r="D45" s="216">
        <v>47.63</v>
      </c>
      <c r="E45" s="216">
        <v>15.77</v>
      </c>
      <c r="F45" s="216">
        <v>38</v>
      </c>
      <c r="G45" s="216">
        <v>21</v>
      </c>
      <c r="H45" s="216">
        <v>2.9</v>
      </c>
      <c r="I45" s="216">
        <v>34.5</v>
      </c>
      <c r="J45">
        <v>94</v>
      </c>
    </row>
    <row r="46" spans="1:10" x14ac:dyDescent="0.25">
      <c r="A46" s="216">
        <v>136</v>
      </c>
      <c r="B46" s="216" t="s">
        <v>214</v>
      </c>
      <c r="C46" s="216">
        <v>1.7</v>
      </c>
      <c r="D46" s="216">
        <v>87.27</v>
      </c>
      <c r="E46" s="216">
        <v>11.03</v>
      </c>
      <c r="F46" s="216">
        <v>38</v>
      </c>
      <c r="G46" s="216">
        <v>27</v>
      </c>
      <c r="H46" s="216">
        <v>1.81</v>
      </c>
      <c r="I46" s="216">
        <v>7.75</v>
      </c>
      <c r="J46">
        <v>95</v>
      </c>
    </row>
    <row r="47" spans="1:10" x14ac:dyDescent="0.25">
      <c r="A47" s="216">
        <v>137</v>
      </c>
      <c r="B47" s="216" t="s">
        <v>198</v>
      </c>
      <c r="C47" s="216">
        <v>9</v>
      </c>
      <c r="D47" s="216">
        <v>66.040000000000006</v>
      </c>
      <c r="E47" s="216">
        <v>24.96</v>
      </c>
      <c r="F47" s="216">
        <v>43</v>
      </c>
      <c r="G47" s="216">
        <v>23</v>
      </c>
      <c r="H47" s="216" t="s">
        <v>184</v>
      </c>
      <c r="I47" s="216" t="s">
        <v>184</v>
      </c>
      <c r="J47">
        <v>96</v>
      </c>
    </row>
    <row r="48" spans="1:10" x14ac:dyDescent="0.25">
      <c r="A48" s="216">
        <v>140</v>
      </c>
      <c r="B48" s="216" t="s">
        <v>146</v>
      </c>
      <c r="C48" s="216">
        <v>1.9</v>
      </c>
      <c r="D48" s="216">
        <v>85.36</v>
      </c>
      <c r="E48" s="216">
        <v>12.75</v>
      </c>
      <c r="F48" s="216">
        <v>54</v>
      </c>
      <c r="G48" s="216">
        <v>37</v>
      </c>
      <c r="H48" s="216">
        <v>2.08</v>
      </c>
      <c r="I48" s="216">
        <v>6.75</v>
      </c>
      <c r="J48">
        <v>97</v>
      </c>
    </row>
    <row r="49" spans="1:10" x14ac:dyDescent="0.25">
      <c r="A49" s="216">
        <v>140</v>
      </c>
      <c r="B49" s="216" t="s">
        <v>215</v>
      </c>
      <c r="C49" s="216">
        <v>45.9</v>
      </c>
      <c r="D49" s="216">
        <v>38.72</v>
      </c>
      <c r="E49" s="216">
        <v>15.38</v>
      </c>
      <c r="F49" s="216">
        <v>25</v>
      </c>
      <c r="G49" s="216">
        <v>18</v>
      </c>
      <c r="H49" s="216">
        <v>0.52</v>
      </c>
      <c r="I49" s="216">
        <v>54.67</v>
      </c>
      <c r="J49">
        <v>98</v>
      </c>
    </row>
    <row r="50" spans="1:10" x14ac:dyDescent="0.25">
      <c r="A50" s="216">
        <v>1</v>
      </c>
      <c r="B50" s="216" t="s">
        <v>191</v>
      </c>
      <c r="C50" s="216">
        <v>11.5</v>
      </c>
      <c r="D50" s="216">
        <v>58.08</v>
      </c>
      <c r="E50" s="216">
        <v>30.42</v>
      </c>
      <c r="F50" s="216">
        <v>41</v>
      </c>
      <c r="G50" s="216">
        <v>21</v>
      </c>
      <c r="H50" s="216"/>
      <c r="I50" s="216"/>
    </row>
    <row r="51" spans="1:10" x14ac:dyDescent="0.25">
      <c r="A51" s="216">
        <v>4</v>
      </c>
      <c r="B51" s="216" t="s">
        <v>146</v>
      </c>
      <c r="C51" s="216">
        <v>1.3</v>
      </c>
      <c r="D51" s="216">
        <v>53.31</v>
      </c>
      <c r="E51" s="216">
        <v>45.39</v>
      </c>
      <c r="F51" s="216">
        <v>42</v>
      </c>
      <c r="G51" s="216">
        <v>23</v>
      </c>
      <c r="H51" s="216"/>
      <c r="I51" s="216"/>
    </row>
    <row r="52" spans="1:10" x14ac:dyDescent="0.25">
      <c r="A52" s="216">
        <v>4</v>
      </c>
      <c r="B52" s="216" t="s">
        <v>209</v>
      </c>
      <c r="C52" s="216">
        <v>2.7</v>
      </c>
      <c r="D52" s="216">
        <v>70.66</v>
      </c>
      <c r="E52" s="216">
        <v>26.64</v>
      </c>
      <c r="F52" s="216">
        <v>37</v>
      </c>
      <c r="G52" s="216">
        <v>23</v>
      </c>
      <c r="H52" s="216"/>
      <c r="I52" s="216"/>
    </row>
    <row r="53" spans="1:10" x14ac:dyDescent="0.25">
      <c r="A53" s="216">
        <v>5</v>
      </c>
      <c r="B53" s="216" t="s">
        <v>198</v>
      </c>
      <c r="C53" s="216">
        <v>3.7</v>
      </c>
      <c r="D53" s="216">
        <v>58.37</v>
      </c>
      <c r="E53" s="216">
        <v>37.93</v>
      </c>
      <c r="F53" s="216">
        <v>40</v>
      </c>
      <c r="G53" s="216">
        <v>22</v>
      </c>
      <c r="H53" s="216" t="s">
        <v>184</v>
      </c>
      <c r="I53" s="216" t="s">
        <v>184</v>
      </c>
      <c r="J53">
        <v>1</v>
      </c>
    </row>
    <row r="54" spans="1:10" x14ac:dyDescent="0.25">
      <c r="A54" s="216">
        <v>6</v>
      </c>
      <c r="B54" s="216" t="s">
        <v>198</v>
      </c>
      <c r="C54" s="216">
        <v>8.3000000000000007</v>
      </c>
      <c r="D54" s="216">
        <v>54.14</v>
      </c>
      <c r="E54" s="216">
        <v>37.56</v>
      </c>
      <c r="F54" s="216">
        <v>34</v>
      </c>
      <c r="G54" s="216">
        <v>19</v>
      </c>
      <c r="H54" s="216" t="s">
        <v>184</v>
      </c>
      <c r="I54" s="216" t="s">
        <v>184</v>
      </c>
      <c r="J54">
        <v>2</v>
      </c>
    </row>
    <row r="55" spans="1:10" x14ac:dyDescent="0.25">
      <c r="A55" s="216">
        <v>7</v>
      </c>
      <c r="B55" s="216" t="s">
        <v>146</v>
      </c>
      <c r="C55" s="216">
        <v>0.3</v>
      </c>
      <c r="D55" s="216">
        <v>22.69</v>
      </c>
      <c r="E55" s="216">
        <v>77.009999999999991</v>
      </c>
      <c r="F55" s="216">
        <v>40</v>
      </c>
      <c r="G55" s="216">
        <v>25</v>
      </c>
      <c r="H55" s="216" t="s">
        <v>184</v>
      </c>
      <c r="I55" s="216" t="s">
        <v>184</v>
      </c>
      <c r="J55">
        <f t="shared" si="0"/>
        <v>3</v>
      </c>
    </row>
    <row r="56" spans="1:10" x14ac:dyDescent="0.25">
      <c r="A56" s="216">
        <v>7</v>
      </c>
      <c r="B56" s="216" t="s">
        <v>216</v>
      </c>
      <c r="C56" s="216">
        <v>4.5999999999999996</v>
      </c>
      <c r="D56" s="216">
        <v>70.319999999999993</v>
      </c>
      <c r="E56" s="216">
        <v>25.08</v>
      </c>
      <c r="F56" s="216">
        <v>38</v>
      </c>
      <c r="G56" s="216">
        <v>26</v>
      </c>
      <c r="H56" s="216" t="s">
        <v>184</v>
      </c>
      <c r="I56" s="216" t="s">
        <v>184</v>
      </c>
      <c r="J56">
        <f t="shared" si="0"/>
        <v>4</v>
      </c>
    </row>
    <row r="57" spans="1:10" x14ac:dyDescent="0.25">
      <c r="A57" s="216">
        <v>8</v>
      </c>
      <c r="B57" s="216" t="s">
        <v>146</v>
      </c>
      <c r="C57" s="216">
        <v>1.2</v>
      </c>
      <c r="D57" s="216">
        <v>41.67</v>
      </c>
      <c r="E57" s="216">
        <v>57.13</v>
      </c>
      <c r="F57" s="216">
        <v>55</v>
      </c>
      <c r="G57" s="216">
        <v>27</v>
      </c>
      <c r="H57" s="216" t="s">
        <v>184</v>
      </c>
      <c r="I57" s="216" t="s">
        <v>184</v>
      </c>
      <c r="J57">
        <f t="shared" si="0"/>
        <v>5</v>
      </c>
    </row>
    <row r="58" spans="1:10" x14ac:dyDescent="0.25">
      <c r="A58" s="216">
        <v>13</v>
      </c>
      <c r="B58" s="216" t="s">
        <v>192</v>
      </c>
      <c r="C58" s="216">
        <v>0.7</v>
      </c>
      <c r="D58" s="216">
        <v>58.66</v>
      </c>
      <c r="E58" s="216">
        <v>40.64</v>
      </c>
      <c r="F58" s="216">
        <v>67</v>
      </c>
      <c r="G58" s="216">
        <v>36</v>
      </c>
      <c r="H58" s="216" t="s">
        <v>184</v>
      </c>
      <c r="I58" s="216" t="s">
        <v>184</v>
      </c>
      <c r="J58">
        <f t="shared" si="0"/>
        <v>6</v>
      </c>
    </row>
    <row r="59" spans="1:10" x14ac:dyDescent="0.25">
      <c r="A59" s="216">
        <v>15</v>
      </c>
      <c r="B59" s="216" t="s">
        <v>217</v>
      </c>
      <c r="C59" s="216">
        <v>8.1</v>
      </c>
      <c r="D59" s="216">
        <v>53.53</v>
      </c>
      <c r="E59" s="216">
        <v>38.369999999999997</v>
      </c>
      <c r="F59" s="216">
        <v>44</v>
      </c>
      <c r="G59" s="216">
        <v>19</v>
      </c>
      <c r="H59" s="216" t="s">
        <v>184</v>
      </c>
      <c r="I59" s="216" t="s">
        <v>184</v>
      </c>
      <c r="J59">
        <f t="shared" si="0"/>
        <v>7</v>
      </c>
    </row>
    <row r="60" spans="1:10" x14ac:dyDescent="0.25">
      <c r="A60" s="216">
        <v>15</v>
      </c>
      <c r="B60" s="216" t="s">
        <v>204</v>
      </c>
      <c r="C60" s="216">
        <v>0.7</v>
      </c>
      <c r="D60" s="216">
        <v>68</v>
      </c>
      <c r="E60" s="216">
        <v>31.29</v>
      </c>
      <c r="F60" s="216">
        <v>65</v>
      </c>
      <c r="G60" s="216">
        <v>32</v>
      </c>
      <c r="H60" s="216" t="s">
        <v>184</v>
      </c>
      <c r="I60" s="216" t="s">
        <v>184</v>
      </c>
      <c r="J60">
        <f t="shared" si="0"/>
        <v>8</v>
      </c>
    </row>
    <row r="61" spans="1:10" x14ac:dyDescent="0.25">
      <c r="A61" s="216">
        <v>19</v>
      </c>
      <c r="B61" s="216" t="s">
        <v>187</v>
      </c>
      <c r="C61" s="216">
        <v>2.1</v>
      </c>
      <c r="D61" s="216">
        <v>64.81</v>
      </c>
      <c r="E61" s="216">
        <v>33.090000000000003</v>
      </c>
      <c r="F61" s="216">
        <v>39</v>
      </c>
      <c r="G61" s="216">
        <v>22</v>
      </c>
      <c r="H61" s="216" t="s">
        <v>184</v>
      </c>
      <c r="I61" s="216" t="s">
        <v>184</v>
      </c>
      <c r="J61">
        <f t="shared" si="0"/>
        <v>9</v>
      </c>
    </row>
    <row r="62" spans="1:10" x14ac:dyDescent="0.25">
      <c r="A62" s="216"/>
      <c r="B62" s="216"/>
      <c r="C62" s="216"/>
      <c r="D62" s="216"/>
      <c r="E62" s="216"/>
      <c r="F62" s="216"/>
      <c r="G62" s="216"/>
      <c r="H62" s="216"/>
      <c r="I62" s="216"/>
      <c r="J62">
        <f t="shared" si="0"/>
        <v>10</v>
      </c>
    </row>
    <row r="63" spans="1:10" x14ac:dyDescent="0.25">
      <c r="A63" s="216"/>
      <c r="B63" s="216"/>
      <c r="C63" s="216"/>
      <c r="D63" s="216"/>
      <c r="E63" s="216"/>
      <c r="F63" s="216"/>
      <c r="G63" s="216"/>
      <c r="H63" s="216"/>
      <c r="I63" s="216"/>
      <c r="J63">
        <f t="shared" si="0"/>
        <v>11</v>
      </c>
    </row>
    <row r="64" spans="1:10" x14ac:dyDescent="0.25">
      <c r="A64" s="216"/>
      <c r="B64" s="216"/>
      <c r="C64" s="216"/>
      <c r="D64" s="216"/>
      <c r="E64" s="216"/>
      <c r="F64" s="216"/>
      <c r="G64" s="216"/>
      <c r="H64" s="216"/>
      <c r="I64" s="216"/>
      <c r="J64">
        <f t="shared" si="0"/>
        <v>12</v>
      </c>
    </row>
    <row r="65" spans="1:10" x14ac:dyDescent="0.25">
      <c r="A65" s="216"/>
      <c r="B65" s="216"/>
      <c r="C65" s="216"/>
      <c r="D65" s="216"/>
      <c r="E65" s="216"/>
      <c r="F65" s="216"/>
      <c r="G65" s="216"/>
      <c r="H65" s="216"/>
      <c r="I65" s="216"/>
      <c r="J65">
        <f t="shared" si="0"/>
        <v>13</v>
      </c>
    </row>
    <row r="66" spans="1:10" x14ac:dyDescent="0.25">
      <c r="A66" s="216"/>
      <c r="B66" s="216"/>
      <c r="C66" s="216"/>
      <c r="D66" s="216"/>
      <c r="E66" s="216"/>
      <c r="F66" s="216"/>
      <c r="G66" s="216"/>
      <c r="H66" s="216"/>
      <c r="I66" s="216"/>
      <c r="J66">
        <f t="shared" si="0"/>
        <v>14</v>
      </c>
    </row>
    <row r="67" spans="1:10" x14ac:dyDescent="0.25">
      <c r="A67" s="216"/>
      <c r="B67" s="216"/>
      <c r="C67" s="216"/>
      <c r="D67" s="216"/>
      <c r="E67" s="216"/>
      <c r="F67" s="216"/>
      <c r="G67" s="216"/>
      <c r="H67" s="216"/>
      <c r="I67" s="216"/>
      <c r="J67">
        <f t="shared" si="0"/>
        <v>15</v>
      </c>
    </row>
    <row r="68" spans="1:10" x14ac:dyDescent="0.25">
      <c r="A68" s="216"/>
      <c r="B68" s="216"/>
      <c r="C68" s="216"/>
      <c r="D68" s="216"/>
      <c r="E68" s="216"/>
      <c r="F68" s="216"/>
      <c r="G68" s="216"/>
      <c r="H68" s="216"/>
      <c r="I68" s="216"/>
      <c r="J68">
        <f t="shared" ref="J68:J131" si="1">J67+1</f>
        <v>16</v>
      </c>
    </row>
    <row r="69" spans="1:10" x14ac:dyDescent="0.25">
      <c r="A69" s="216"/>
      <c r="B69" s="216"/>
      <c r="C69" s="216"/>
      <c r="D69" s="216"/>
      <c r="E69" s="216"/>
      <c r="F69" s="216"/>
      <c r="G69" s="216"/>
      <c r="H69" s="216"/>
      <c r="I69" s="216"/>
      <c r="J69">
        <f t="shared" si="1"/>
        <v>17</v>
      </c>
    </row>
    <row r="70" spans="1:10" x14ac:dyDescent="0.25">
      <c r="A70" s="216"/>
      <c r="B70" s="216"/>
      <c r="C70" s="216"/>
      <c r="D70" s="216"/>
      <c r="E70" s="216"/>
      <c r="F70" s="216"/>
      <c r="G70" s="216"/>
      <c r="H70" s="216"/>
      <c r="I70" s="216"/>
      <c r="J70">
        <f t="shared" si="1"/>
        <v>18</v>
      </c>
    </row>
    <row r="71" spans="1:10" x14ac:dyDescent="0.25">
      <c r="A71" s="216"/>
      <c r="B71" s="216"/>
      <c r="C71" s="216"/>
      <c r="D71" s="216"/>
      <c r="E71" s="216"/>
      <c r="F71" s="216"/>
      <c r="G71" s="216"/>
      <c r="H71" s="216"/>
      <c r="I71" s="216"/>
      <c r="J71">
        <f t="shared" si="1"/>
        <v>19</v>
      </c>
    </row>
    <row r="72" spans="1:10" x14ac:dyDescent="0.25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20</v>
      </c>
    </row>
    <row r="73" spans="1:10" x14ac:dyDescent="0.25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21</v>
      </c>
    </row>
    <row r="74" spans="1:10" x14ac:dyDescent="0.25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22</v>
      </c>
    </row>
    <row r="75" spans="1:10" x14ac:dyDescent="0.25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23</v>
      </c>
    </row>
    <row r="76" spans="1:10" x14ac:dyDescent="0.25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24</v>
      </c>
    </row>
    <row r="77" spans="1:10" x14ac:dyDescent="0.25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25</v>
      </c>
    </row>
    <row r="78" spans="1:10" x14ac:dyDescent="0.25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26</v>
      </c>
    </row>
    <row r="79" spans="1:10" x14ac:dyDescent="0.25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27</v>
      </c>
    </row>
    <row r="80" spans="1:10" x14ac:dyDescent="0.25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28</v>
      </c>
    </row>
    <row r="81" spans="1:10" x14ac:dyDescent="0.25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29</v>
      </c>
    </row>
    <row r="82" spans="1:10" x14ac:dyDescent="0.25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30</v>
      </c>
    </row>
    <row r="83" spans="1:10" x14ac:dyDescent="0.25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31</v>
      </c>
    </row>
    <row r="84" spans="1:10" x14ac:dyDescent="0.25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32</v>
      </c>
    </row>
    <row r="85" spans="1:10" x14ac:dyDescent="0.25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33</v>
      </c>
    </row>
    <row r="86" spans="1:10" x14ac:dyDescent="0.25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34</v>
      </c>
    </row>
    <row r="87" spans="1:10" x14ac:dyDescent="0.25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35</v>
      </c>
    </row>
    <row r="88" spans="1:10" x14ac:dyDescent="0.25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36</v>
      </c>
    </row>
    <row r="89" spans="1:10" x14ac:dyDescent="0.25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37</v>
      </c>
    </row>
    <row r="90" spans="1:10" x14ac:dyDescent="0.25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38</v>
      </c>
    </row>
    <row r="91" spans="1:10" x14ac:dyDescent="0.25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39</v>
      </c>
    </row>
    <row r="92" spans="1:10" x14ac:dyDescent="0.25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40</v>
      </c>
    </row>
    <row r="93" spans="1:10" x14ac:dyDescent="0.25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41</v>
      </c>
    </row>
    <row r="94" spans="1:10" x14ac:dyDescent="0.25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42</v>
      </c>
    </row>
    <row r="95" spans="1:10" x14ac:dyDescent="0.25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43</v>
      </c>
    </row>
    <row r="96" spans="1:10" x14ac:dyDescent="0.25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44</v>
      </c>
    </row>
    <row r="97" spans="1:10" x14ac:dyDescent="0.25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45</v>
      </c>
    </row>
    <row r="98" spans="1:10" x14ac:dyDescent="0.25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46</v>
      </c>
    </row>
    <row r="99" spans="1:10" x14ac:dyDescent="0.25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47</v>
      </c>
    </row>
    <row r="100" spans="1:10" x14ac:dyDescent="0.25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48</v>
      </c>
    </row>
    <row r="101" spans="1:10" x14ac:dyDescent="0.25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49</v>
      </c>
    </row>
    <row r="102" spans="1:10" x14ac:dyDescent="0.25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50</v>
      </c>
    </row>
    <row r="103" spans="1:10" x14ac:dyDescent="0.25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51</v>
      </c>
    </row>
    <row r="104" spans="1:10" x14ac:dyDescent="0.25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52</v>
      </c>
    </row>
    <row r="105" spans="1:10" x14ac:dyDescent="0.25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53</v>
      </c>
    </row>
    <row r="106" spans="1:10" x14ac:dyDescent="0.25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54</v>
      </c>
    </row>
    <row r="107" spans="1:10" x14ac:dyDescent="0.25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55</v>
      </c>
    </row>
    <row r="108" spans="1:10" x14ac:dyDescent="0.25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56</v>
      </c>
    </row>
    <row r="109" spans="1:10" x14ac:dyDescent="0.25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57</v>
      </c>
    </row>
    <row r="110" spans="1:10" x14ac:dyDescent="0.25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58</v>
      </c>
    </row>
    <row r="111" spans="1:10" x14ac:dyDescent="0.25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59</v>
      </c>
    </row>
    <row r="112" spans="1:10" x14ac:dyDescent="0.25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60</v>
      </c>
    </row>
    <row r="113" spans="1:10" x14ac:dyDescent="0.25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61</v>
      </c>
    </row>
    <row r="114" spans="1:10" x14ac:dyDescent="0.25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62</v>
      </c>
    </row>
    <row r="115" spans="1:10" x14ac:dyDescent="0.25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63</v>
      </c>
    </row>
    <row r="116" spans="1:10" x14ac:dyDescent="0.25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64</v>
      </c>
    </row>
    <row r="117" spans="1:10" x14ac:dyDescent="0.25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65</v>
      </c>
    </row>
    <row r="118" spans="1:10" x14ac:dyDescent="0.25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66</v>
      </c>
    </row>
    <row r="119" spans="1:10" x14ac:dyDescent="0.25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67</v>
      </c>
    </row>
    <row r="120" spans="1:10" x14ac:dyDescent="0.25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68</v>
      </c>
    </row>
    <row r="121" spans="1:10" x14ac:dyDescent="0.25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69</v>
      </c>
    </row>
    <row r="122" spans="1:10" x14ac:dyDescent="0.25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70</v>
      </c>
    </row>
    <row r="123" spans="1:10" x14ac:dyDescent="0.25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71</v>
      </c>
    </row>
    <row r="124" spans="1:10" x14ac:dyDescent="0.25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72</v>
      </c>
    </row>
    <row r="125" spans="1:10" x14ac:dyDescent="0.25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73</v>
      </c>
    </row>
    <row r="126" spans="1:10" x14ac:dyDescent="0.25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74</v>
      </c>
    </row>
    <row r="127" spans="1:10" x14ac:dyDescent="0.25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75</v>
      </c>
    </row>
    <row r="128" spans="1:10" x14ac:dyDescent="0.25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76</v>
      </c>
    </row>
    <row r="129" spans="1:10" x14ac:dyDescent="0.25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77</v>
      </c>
    </row>
    <row r="130" spans="1:10" x14ac:dyDescent="0.25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78</v>
      </c>
    </row>
    <row r="131" spans="1:10" x14ac:dyDescent="0.25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79</v>
      </c>
    </row>
    <row r="132" spans="1:10" x14ac:dyDescent="0.25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80</v>
      </c>
    </row>
    <row r="133" spans="1:10" x14ac:dyDescent="0.25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81</v>
      </c>
    </row>
    <row r="134" spans="1:10" x14ac:dyDescent="0.25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82</v>
      </c>
    </row>
    <row r="135" spans="1:10" x14ac:dyDescent="0.25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83</v>
      </c>
    </row>
    <row r="136" spans="1:10" x14ac:dyDescent="0.25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84</v>
      </c>
    </row>
    <row r="137" spans="1:10" x14ac:dyDescent="0.25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85</v>
      </c>
    </row>
    <row r="138" spans="1:10" x14ac:dyDescent="0.25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86</v>
      </c>
    </row>
    <row r="139" spans="1:10" x14ac:dyDescent="0.25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87</v>
      </c>
    </row>
    <row r="140" spans="1:10" x14ac:dyDescent="0.25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88</v>
      </c>
    </row>
    <row r="141" spans="1:10" x14ac:dyDescent="0.25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89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90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91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92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93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94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95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96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97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98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99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100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101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102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103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104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105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106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107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108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109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110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111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112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113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114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115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116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117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118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119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120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121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122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123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124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125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126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127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128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129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130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131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132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133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134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135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136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137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138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139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140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141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142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143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144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145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146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147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148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149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150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151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152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153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154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155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156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157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158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159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160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161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162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163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164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165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166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167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168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169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170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171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172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173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174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175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176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177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178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179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180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181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182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183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184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185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186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187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188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189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190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191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192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193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194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195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196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197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198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199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200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201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202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203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204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205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206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207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208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209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210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211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212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213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214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215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216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217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218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219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220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221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222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223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224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225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226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227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228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229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230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231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232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233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234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235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236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237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238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239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240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241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242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243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244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245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246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247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248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249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250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251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252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253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254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255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256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257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258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259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260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261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262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263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264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265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266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267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268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269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270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271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272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273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274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275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276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277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278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279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280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281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282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283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284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285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286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287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288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289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290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291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292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293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294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295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296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297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298</v>
      </c>
    </row>
    <row r="351" spans="1:10" x14ac:dyDescent="0.25">
      <c r="A351" s="216"/>
      <c r="B351" s="216"/>
      <c r="C351" s="216"/>
      <c r="D351" s="216"/>
      <c r="E351" s="216"/>
      <c r="F351" s="216"/>
      <c r="G351" s="216"/>
      <c r="H351" s="216"/>
      <c r="I351" s="216"/>
      <c r="J351">
        <f t="shared" si="5"/>
        <v>299</v>
      </c>
    </row>
  </sheetData>
  <mergeCells count="1">
    <mergeCell ref="M17:Q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58"/>
      <c r="L7" s="258"/>
      <c r="M7" s="258"/>
      <c r="N7" s="258"/>
      <c r="O7" s="258"/>
      <c r="P7" s="259"/>
      <c r="Q7" s="259"/>
      <c r="R7" s="259"/>
      <c r="S7" s="85"/>
      <c r="T7" s="260"/>
      <c r="U7" s="261"/>
      <c r="V7" s="261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72" t="s">
        <v>142</v>
      </c>
      <c r="C8" s="272"/>
      <c r="D8" s="272"/>
      <c r="E8" s="272"/>
      <c r="F8" s="260" t="s">
        <v>45</v>
      </c>
      <c r="G8" s="284" t="s">
        <v>144</v>
      </c>
      <c r="H8" s="284"/>
      <c r="I8" s="284"/>
      <c r="J8" s="84"/>
      <c r="K8" s="258"/>
      <c r="L8" s="258"/>
      <c r="M8" s="258"/>
      <c r="N8" s="258"/>
      <c r="O8" s="258"/>
      <c r="P8" s="259"/>
      <c r="Q8" s="259"/>
      <c r="R8" s="259"/>
      <c r="S8" s="85"/>
      <c r="T8" s="262"/>
      <c r="U8" s="262"/>
      <c r="V8" s="261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60"/>
      <c r="G9" s="284"/>
      <c r="H9" s="284"/>
      <c r="I9" s="284"/>
      <c r="J9" s="84"/>
      <c r="K9" s="258"/>
      <c r="L9" s="258"/>
      <c r="M9" s="258"/>
      <c r="N9" s="258"/>
      <c r="O9" s="258"/>
      <c r="P9" s="258"/>
      <c r="Q9" s="258"/>
      <c r="R9" s="258"/>
      <c r="S9" s="85"/>
      <c r="T9" s="87"/>
      <c r="U9" s="262"/>
      <c r="V9" s="261"/>
      <c r="AG9" s="34"/>
      <c r="AH9" s="34"/>
      <c r="AI9" s="34"/>
      <c r="AJ9" s="34"/>
      <c r="AK9" s="34"/>
    </row>
    <row r="10" spans="1:37" x14ac:dyDescent="0.25">
      <c r="A10" s="84" t="s">
        <v>94</v>
      </c>
      <c r="B10" s="272" t="s">
        <v>145</v>
      </c>
      <c r="C10" s="272"/>
      <c r="D10" s="272"/>
      <c r="E10" s="272"/>
      <c r="F10" s="260"/>
      <c r="G10" s="284"/>
      <c r="H10" s="284"/>
      <c r="I10" s="284"/>
      <c r="J10" s="84"/>
      <c r="K10" s="96"/>
      <c r="L10" s="266"/>
      <c r="M10" s="266"/>
      <c r="N10" s="266"/>
      <c r="O10" s="266"/>
      <c r="P10" s="266"/>
      <c r="Q10" s="266"/>
      <c r="R10" s="266"/>
      <c r="S10" s="266"/>
      <c r="T10" s="267"/>
      <c r="U10" s="267"/>
      <c r="V10" s="267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60"/>
      <c r="G11" s="284"/>
      <c r="H11" s="284"/>
      <c r="I11" s="284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83" t="s">
        <v>154</v>
      </c>
      <c r="H13" s="283"/>
      <c r="I13" s="283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83"/>
      <c r="H14" s="283"/>
      <c r="I14" s="283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1.3</v>
      </c>
      <c r="M20" s="54">
        <f t="shared" si="1"/>
        <v>1.3</v>
      </c>
      <c r="N20" s="54">
        <f>SUM(M15:M20)</f>
        <v>1.3</v>
      </c>
      <c r="O20" s="54">
        <f t="shared" si="0"/>
        <v>98.7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0.8</v>
      </c>
      <c r="M21" s="54">
        <f t="shared" si="1"/>
        <v>0.8</v>
      </c>
      <c r="N21" s="54">
        <f>SUM(M15:M21)</f>
        <v>2.1</v>
      </c>
      <c r="O21" s="54">
        <f t="shared" si="0"/>
        <v>97.9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 t="e">
        <f>'input-output'!#REF!</f>
        <v>#REF!</v>
      </c>
      <c r="M22" s="54" t="e">
        <f t="shared" si="1"/>
        <v>#REF!</v>
      </c>
      <c r="N22" s="112" t="e">
        <f>IF(SUM(M15:M22)=100,100,"Adjust wt.")</f>
        <v>#REF!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68" t="s">
        <v>51</v>
      </c>
      <c r="N27" s="269"/>
      <c r="O27" s="29" t="s">
        <v>52</v>
      </c>
      <c r="P27" s="31"/>
      <c r="Q27" s="270">
        <v>867452</v>
      </c>
      <c r="R27" s="271"/>
      <c r="S27" s="33" t="s">
        <v>55</v>
      </c>
      <c r="T27" s="32"/>
      <c r="U27" s="32"/>
      <c r="V27" s="66">
        <f>GS</f>
        <v>2.71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63" t="s">
        <v>86</v>
      </c>
      <c r="M30" s="264"/>
      <c r="N30" s="264"/>
      <c r="O30" s="264"/>
      <c r="P30" s="264"/>
      <c r="Q30" s="264"/>
      <c r="R30" s="265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5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73" t="s">
        <v>103</v>
      </c>
      <c r="L35" s="26">
        <f>'input-output'!F5</f>
        <v>0.25</v>
      </c>
      <c r="M35" s="26">
        <f>'input-output'!G5</f>
        <v>46</v>
      </c>
      <c r="N35" s="26">
        <f>'input-output'!H5</f>
        <v>30</v>
      </c>
      <c r="O35" s="11">
        <f t="shared" ref="O35:O49" si="2">M35-$L$31+$V$31+ROUND(0.0001220529*N35^4-0.0097599296*N35^3+0.2949228983*N35^2-3.7542171086*N35+15.6302691117,1)</f>
        <v>45.3</v>
      </c>
      <c r="P35" s="27">
        <f t="shared" ref="P35:P49" si="3">O35/$U$29*$P$52*100</f>
        <v>89.400455999999977</v>
      </c>
      <c r="Q35" s="27">
        <f t="shared" ref="Q35:Q49" si="4">P35*$O$21/100</f>
        <v>87.523046423999986</v>
      </c>
      <c r="R35" s="11">
        <f t="shared" ref="R35:R49" si="5">M35+$V$31</f>
        <v>46.5</v>
      </c>
      <c r="S35" s="11">
        <f t="shared" ref="S35:S49" si="6">ROUND(($M$28-$M$29)/($K$28-$K$29)*(R35-$K$28)+$M$28+0.5*(Ltwo-Vb/Agrad),1)</f>
        <v>9</v>
      </c>
      <c r="T35" s="11">
        <f t="shared" ref="T35:T49" si="7">ROUND(-0.000005006464124*N35^2-0.00000484550743*N35+1.00033065352292,5)</f>
        <v>0.99568000000000001</v>
      </c>
      <c r="U35" s="11">
        <f t="shared" ref="U35:U49" si="8">ROUND(0.000000000347305*N35^4-0.00000010799529*N35^3+0.000010444897593*N35^2-0.00054383241282*N35+0.017557582729184,5)</f>
        <v>8.0099999999999998E-3</v>
      </c>
      <c r="V35" s="12">
        <f t="shared" ref="V35:V49" si="9">ROUND( (30*U35/980/(GS-T35)*S35/L35)^0.5,5)</f>
        <v>7.1760000000000004E-2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74"/>
      <c r="L36" s="26">
        <f>'input-output'!F6</f>
        <v>0.5</v>
      </c>
      <c r="M36" s="26">
        <f>'input-output'!G6</f>
        <v>43</v>
      </c>
      <c r="N36" s="26">
        <f>'input-output'!H6</f>
        <v>29</v>
      </c>
      <c r="O36" s="11">
        <f t="shared" si="2"/>
        <v>41.6</v>
      </c>
      <c r="P36" s="27">
        <f t="shared" si="3"/>
        <v>82.098432000000017</v>
      </c>
      <c r="Q36" s="27">
        <f t="shared" si="4"/>
        <v>80.37436492800002</v>
      </c>
      <c r="R36" s="11">
        <f t="shared" si="5"/>
        <v>43.5</v>
      </c>
      <c r="S36" s="11">
        <f t="shared" si="6"/>
        <v>9.4</v>
      </c>
      <c r="T36" s="11">
        <f t="shared" si="7"/>
        <v>0.99597999999999998</v>
      </c>
      <c r="U36" s="11">
        <f t="shared" si="8"/>
        <v>8.1799999999999998E-3</v>
      </c>
      <c r="V36" s="12">
        <f t="shared" si="9"/>
        <v>5.2409999999999998E-2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74"/>
      <c r="L37" s="26">
        <f>'input-output'!F7</f>
        <v>1</v>
      </c>
      <c r="M37" s="26">
        <f>'input-output'!G7</f>
        <v>40.5</v>
      </c>
      <c r="N37" s="26">
        <f>'input-output'!H7</f>
        <v>29</v>
      </c>
      <c r="O37" s="11">
        <f t="shared" si="2"/>
        <v>39.1</v>
      </c>
      <c r="P37" s="27">
        <f t="shared" si="3"/>
        <v>77.164631999999997</v>
      </c>
      <c r="Q37" s="27">
        <f t="shared" si="4"/>
        <v>75.544174728000002</v>
      </c>
      <c r="R37" s="11">
        <f t="shared" si="5"/>
        <v>41</v>
      </c>
      <c r="S37" s="11">
        <f t="shared" si="6"/>
        <v>9.9</v>
      </c>
      <c r="T37" s="11">
        <f t="shared" si="7"/>
        <v>0.99597999999999998</v>
      </c>
      <c r="U37" s="11">
        <f t="shared" si="8"/>
        <v>8.1799999999999998E-3</v>
      </c>
      <c r="V37" s="12">
        <f t="shared" si="9"/>
        <v>3.8030000000000001E-2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74"/>
      <c r="L38" s="26">
        <f>'input-output'!F8</f>
        <v>2</v>
      </c>
      <c r="M38" s="26">
        <f>'input-output'!G8</f>
        <v>37.5</v>
      </c>
      <c r="N38" s="26">
        <f>'input-output'!H8</f>
        <v>29</v>
      </c>
      <c r="O38" s="11">
        <f t="shared" si="2"/>
        <v>36.1</v>
      </c>
      <c r="P38" s="27">
        <f t="shared" si="3"/>
        <v>71.244071999999989</v>
      </c>
      <c r="Q38" s="27">
        <f t="shared" si="4"/>
        <v>69.747946487999982</v>
      </c>
      <c r="R38" s="11">
        <f t="shared" si="5"/>
        <v>38</v>
      </c>
      <c r="S38" s="11">
        <f t="shared" si="6"/>
        <v>10.4</v>
      </c>
      <c r="T38" s="11">
        <f t="shared" si="7"/>
        <v>0.99597999999999998</v>
      </c>
      <c r="U38" s="11">
        <f t="shared" si="8"/>
        <v>8.1799999999999998E-3</v>
      </c>
      <c r="V38" s="12">
        <f t="shared" si="9"/>
        <v>2.7560000000000001E-2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74"/>
      <c r="L39" s="26">
        <f>'input-output'!F9</f>
        <v>4</v>
      </c>
      <c r="M39" s="26">
        <f>'input-output'!G9</f>
        <v>34.5</v>
      </c>
      <c r="N39" s="26">
        <f>'input-output'!H9</f>
        <v>29</v>
      </c>
      <c r="O39" s="11">
        <f t="shared" si="2"/>
        <v>33.1</v>
      </c>
      <c r="P39" s="27">
        <f t="shared" si="3"/>
        <v>65.323512000000008</v>
      </c>
      <c r="Q39" s="27">
        <f t="shared" si="4"/>
        <v>63.951718248000013</v>
      </c>
      <c r="R39" s="11">
        <f t="shared" si="5"/>
        <v>35</v>
      </c>
      <c r="S39" s="11">
        <f t="shared" si="6"/>
        <v>10.8</v>
      </c>
      <c r="T39" s="11">
        <f t="shared" si="7"/>
        <v>0.99597999999999998</v>
      </c>
      <c r="U39" s="11">
        <f t="shared" si="8"/>
        <v>8.1799999999999998E-3</v>
      </c>
      <c r="V39" s="12">
        <f t="shared" si="9"/>
        <v>1.9859999999999999E-2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74"/>
      <c r="L40" s="26">
        <f>'input-output'!F10</f>
        <v>8</v>
      </c>
      <c r="M40" s="26">
        <f>'input-output'!G10</f>
        <v>31</v>
      </c>
      <c r="N40" s="26">
        <f>'input-output'!H10</f>
        <v>29</v>
      </c>
      <c r="O40" s="11">
        <f t="shared" si="2"/>
        <v>29.6</v>
      </c>
      <c r="P40" s="27">
        <f t="shared" si="3"/>
        <v>58.416192000000009</v>
      </c>
      <c r="Q40" s="27">
        <f t="shared" si="4"/>
        <v>57.189451968000014</v>
      </c>
      <c r="R40" s="11">
        <f t="shared" si="5"/>
        <v>31.5</v>
      </c>
      <c r="S40" s="11">
        <f t="shared" si="6"/>
        <v>11.4</v>
      </c>
      <c r="T40" s="11">
        <f t="shared" si="7"/>
        <v>0.99597999999999998</v>
      </c>
      <c r="U40" s="11">
        <f t="shared" si="8"/>
        <v>8.1799999999999998E-3</v>
      </c>
      <c r="V40" s="12">
        <f t="shared" si="9"/>
        <v>1.443E-2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74"/>
      <c r="L41" s="26">
        <f>'input-output'!F11</f>
        <v>15</v>
      </c>
      <c r="M41" s="26">
        <f>'input-output'!G11</f>
        <v>27</v>
      </c>
      <c r="N41" s="26">
        <f>'input-output'!H11</f>
        <v>29</v>
      </c>
      <c r="O41" s="11">
        <f t="shared" si="2"/>
        <v>25.6</v>
      </c>
      <c r="P41" s="27">
        <f t="shared" si="3"/>
        <v>50.522112</v>
      </c>
      <c r="Q41" s="27">
        <f t="shared" si="4"/>
        <v>49.461147648000008</v>
      </c>
      <c r="R41" s="11">
        <f t="shared" si="5"/>
        <v>27.5</v>
      </c>
      <c r="S41" s="11">
        <f t="shared" si="6"/>
        <v>12.1</v>
      </c>
      <c r="T41" s="11">
        <f t="shared" si="7"/>
        <v>0.99597999999999998</v>
      </c>
      <c r="U41" s="11">
        <f t="shared" si="8"/>
        <v>8.1799999999999998E-3</v>
      </c>
      <c r="V41" s="12">
        <f t="shared" si="9"/>
        <v>1.086E-2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74"/>
      <c r="L42" s="26">
        <f>'input-output'!F12</f>
        <v>30</v>
      </c>
      <c r="M42" s="26">
        <f>'input-output'!G12</f>
        <v>23</v>
      </c>
      <c r="N42" s="26">
        <f>'input-output'!H12</f>
        <v>29</v>
      </c>
      <c r="O42" s="11">
        <f t="shared" si="2"/>
        <v>21.6</v>
      </c>
      <c r="P42" s="27">
        <f t="shared" si="3"/>
        <v>42.628032000000005</v>
      </c>
      <c r="Q42" s="27">
        <f t="shared" si="4"/>
        <v>41.732843328000008</v>
      </c>
      <c r="R42" s="11">
        <f t="shared" si="5"/>
        <v>23.5</v>
      </c>
      <c r="S42" s="11">
        <f t="shared" si="6"/>
        <v>12.7</v>
      </c>
      <c r="T42" s="11">
        <f t="shared" si="7"/>
        <v>0.99597999999999998</v>
      </c>
      <c r="U42" s="11">
        <f t="shared" si="8"/>
        <v>8.1799999999999998E-3</v>
      </c>
      <c r="V42" s="12">
        <f t="shared" si="9"/>
        <v>7.8600000000000007E-3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74"/>
      <c r="L43" s="26">
        <f>'input-output'!F13</f>
        <v>60</v>
      </c>
      <c r="M43" s="26">
        <f>'input-output'!G13</f>
        <v>19.5</v>
      </c>
      <c r="N43" s="26">
        <f>'input-output'!H13</f>
        <v>29</v>
      </c>
      <c r="O43" s="11">
        <f t="shared" si="2"/>
        <v>18.100000000000001</v>
      </c>
      <c r="P43" s="27">
        <f t="shared" si="3"/>
        <v>35.720712000000006</v>
      </c>
      <c r="Q43" s="27">
        <f t="shared" si="4"/>
        <v>34.97057704800001</v>
      </c>
      <c r="R43" s="11">
        <f t="shared" si="5"/>
        <v>20</v>
      </c>
      <c r="S43" s="11">
        <f t="shared" si="6"/>
        <v>13.3</v>
      </c>
      <c r="T43" s="11">
        <f t="shared" si="7"/>
        <v>0.99597999999999998</v>
      </c>
      <c r="U43" s="11">
        <f t="shared" si="8"/>
        <v>8.1799999999999998E-3</v>
      </c>
      <c r="V43" s="12">
        <f t="shared" si="9"/>
        <v>5.6899999999999997E-3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74"/>
      <c r="L44" s="26">
        <f>'input-output'!F14</f>
        <v>120</v>
      </c>
      <c r="M44" s="26">
        <f>'input-output'!G14</f>
        <v>17</v>
      </c>
      <c r="N44" s="26">
        <f>'input-output'!H14</f>
        <v>29</v>
      </c>
      <c r="O44" s="11">
        <f t="shared" si="2"/>
        <v>15.6</v>
      </c>
      <c r="P44" s="27">
        <f t="shared" si="3"/>
        <v>30.786912000000001</v>
      </c>
      <c r="Q44" s="27">
        <f t="shared" si="4"/>
        <v>30.140386848000002</v>
      </c>
      <c r="R44" s="11">
        <f t="shared" si="5"/>
        <v>17.5</v>
      </c>
      <c r="S44" s="11">
        <f t="shared" si="6"/>
        <v>13.7</v>
      </c>
      <c r="T44" s="11">
        <f t="shared" si="7"/>
        <v>0.99597999999999998</v>
      </c>
      <c r="U44" s="11">
        <f t="shared" si="8"/>
        <v>8.1799999999999998E-3</v>
      </c>
      <c r="V44" s="12">
        <f t="shared" si="9"/>
        <v>4.0800000000000003E-3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74"/>
      <c r="L45" s="26">
        <f>'input-output'!F15</f>
        <v>240</v>
      </c>
      <c r="M45" s="26">
        <f>'input-output'!G15</f>
        <v>14</v>
      </c>
      <c r="N45" s="26">
        <f>'input-output'!H15</f>
        <v>29</v>
      </c>
      <c r="O45" s="11">
        <f t="shared" si="2"/>
        <v>12.6</v>
      </c>
      <c r="P45" s="27">
        <f t="shared" si="3"/>
        <v>24.866351999999999</v>
      </c>
      <c r="Q45" s="27">
        <f t="shared" si="4"/>
        <v>24.344158608000001</v>
      </c>
      <c r="R45" s="11">
        <f t="shared" si="5"/>
        <v>14.5</v>
      </c>
      <c r="S45" s="11">
        <f t="shared" si="6"/>
        <v>14.2</v>
      </c>
      <c r="T45" s="11">
        <f t="shared" si="7"/>
        <v>0.99597999999999998</v>
      </c>
      <c r="U45" s="11">
        <f t="shared" si="8"/>
        <v>8.1799999999999998E-3</v>
      </c>
      <c r="V45" s="12">
        <f t="shared" si="9"/>
        <v>2.9399999999999999E-3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74"/>
      <c r="L46" s="26">
        <f>'input-output'!F16</f>
        <v>480</v>
      </c>
      <c r="M46" s="26">
        <f>'input-output'!G17</f>
        <v>10.5</v>
      </c>
      <c r="N46" s="26">
        <f>'input-output'!H16</f>
        <v>29</v>
      </c>
      <c r="O46" s="11">
        <f t="shared" si="2"/>
        <v>9.1</v>
      </c>
      <c r="P46" s="27">
        <f t="shared" si="3"/>
        <v>17.959032000000001</v>
      </c>
      <c r="Q46" s="27">
        <f t="shared" si="4"/>
        <v>17.581892328000002</v>
      </c>
      <c r="R46" s="11">
        <f t="shared" si="5"/>
        <v>11</v>
      </c>
      <c r="S46" s="11">
        <f t="shared" si="6"/>
        <v>14.8</v>
      </c>
      <c r="T46" s="11">
        <f t="shared" si="7"/>
        <v>0.99597999999999998</v>
      </c>
      <c r="U46" s="11">
        <f t="shared" si="8"/>
        <v>8.1799999999999998E-3</v>
      </c>
      <c r="V46" s="12">
        <f t="shared" si="9"/>
        <v>2.1199999999999999E-3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74"/>
      <c r="L47" s="26">
        <f>'input-output'!F17</f>
        <v>1408</v>
      </c>
      <c r="M47" s="26">
        <f>'input-output'!G18</f>
        <v>10</v>
      </c>
      <c r="N47" s="26">
        <f>'input-output'!H17</f>
        <v>29</v>
      </c>
      <c r="O47" s="11">
        <f t="shared" si="2"/>
        <v>8.6</v>
      </c>
      <c r="P47" s="27">
        <f t="shared" si="3"/>
        <v>16.972272</v>
      </c>
      <c r="Q47" s="27">
        <f t="shared" si="4"/>
        <v>16.615854288000001</v>
      </c>
      <c r="R47" s="11">
        <f t="shared" si="5"/>
        <v>10.5</v>
      </c>
      <c r="S47" s="11">
        <f t="shared" si="6"/>
        <v>14.9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1.24E-3</v>
      </c>
      <c r="W47" s="108">
        <f>24*60</f>
        <v>1440</v>
      </c>
      <c r="X47" s="276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74"/>
      <c r="L48" s="26">
        <f>'input-output'!F18</f>
        <v>2854</v>
      </c>
      <c r="M48" s="26">
        <f>'input-output'!G19</f>
        <v>9</v>
      </c>
      <c r="N48" s="26">
        <f>'input-output'!H18</f>
        <v>29</v>
      </c>
      <c r="O48" s="11">
        <f t="shared" si="2"/>
        <v>7.6</v>
      </c>
      <c r="P48" s="27">
        <f t="shared" si="3"/>
        <v>14.998751999999998</v>
      </c>
      <c r="Q48" s="27">
        <f t="shared" si="4"/>
        <v>14.683778208</v>
      </c>
      <c r="R48" s="11">
        <f t="shared" si="5"/>
        <v>9.5</v>
      </c>
      <c r="S48" s="11">
        <f t="shared" si="6"/>
        <v>15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8.8000000000000003E-4</v>
      </c>
      <c r="W48" s="109">
        <v>2880</v>
      </c>
      <c r="X48" s="277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75"/>
      <c r="L49" s="26">
        <f>'input-output'!F19</f>
        <v>4316</v>
      </c>
      <c r="M49" s="26" t="e">
        <f>'input-output'!#REF!</f>
        <v>#REF!</v>
      </c>
      <c r="N49" s="26">
        <f>'input-output'!H19</f>
        <v>29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0.99597999999999998</v>
      </c>
      <c r="U49" s="11">
        <f t="shared" si="8"/>
        <v>8.1799999999999998E-3</v>
      </c>
      <c r="V49" s="107" t="e">
        <f t="shared" si="9"/>
        <v>#REF!</v>
      </c>
      <c r="W49" s="110">
        <v>4320</v>
      </c>
      <c r="X49" s="278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0.98675999999999997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373.3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29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342.2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49.2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0.99597999999999998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2.71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79" t="s">
        <v>114</v>
      </c>
      <c r="C75" s="280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81"/>
      <c r="C76" s="282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100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98.7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97.9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5.2409999999999998E-2</v>
      </c>
      <c r="C86" s="131">
        <f>Q36</f>
        <v>80.37436492800002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3.8030000000000001E-2</v>
      </c>
      <c r="C87" s="131">
        <f t="shared" ref="C87:C99" si="14">Q37</f>
        <v>75.544174728000002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2.7560000000000001E-2</v>
      </c>
      <c r="C88" s="131">
        <f t="shared" si="14"/>
        <v>69.747946487999982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1.9859999999999999E-2</v>
      </c>
      <c r="C89" s="131">
        <f t="shared" si="14"/>
        <v>63.951718248000013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1.443E-2</v>
      </c>
      <c r="C90" s="131">
        <f t="shared" si="14"/>
        <v>57.189451968000014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1.086E-2</v>
      </c>
      <c r="C91" s="131">
        <f t="shared" si="14"/>
        <v>49.461147648000008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7.8600000000000007E-3</v>
      </c>
      <c r="C92" s="131">
        <f t="shared" si="14"/>
        <v>41.732843328000008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5.6899999999999997E-3</v>
      </c>
      <c r="C93" s="131">
        <f t="shared" si="14"/>
        <v>34.97057704800001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4.0800000000000003E-3</v>
      </c>
      <c r="C94" s="131">
        <f t="shared" si="14"/>
        <v>30.140386848000002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2.9399999999999999E-3</v>
      </c>
      <c r="C95" s="131">
        <f t="shared" si="14"/>
        <v>24.344158608000001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2.1199999999999999E-3</v>
      </c>
      <c r="C96" s="131">
        <f t="shared" si="14"/>
        <v>17.581892328000002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1.24E-3</v>
      </c>
      <c r="C97" s="131">
        <f t="shared" si="14"/>
        <v>16.615854288000001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8.8000000000000003E-4</v>
      </c>
      <c r="C98" s="131">
        <f t="shared" si="14"/>
        <v>14.683778208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B8:E8"/>
    <mergeCell ref="B10:E10"/>
    <mergeCell ref="K35:K49"/>
    <mergeCell ref="X47:X49"/>
    <mergeCell ref="B75:C76"/>
    <mergeCell ref="F8:F11"/>
    <mergeCell ref="G13:I14"/>
    <mergeCell ref="G8:I11"/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5" t="s">
        <v>126</v>
      </c>
      <c r="E3" s="286"/>
      <c r="F3" s="285" t="s">
        <v>127</v>
      </c>
      <c r="G3" s="286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97.9</v>
      </c>
      <c r="J6" s="154">
        <f t="shared" si="1"/>
        <v>2.1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5.2409999999999998E-2</v>
      </c>
      <c r="F7" s="114">
        <f>INDEX(main!$B$79:$C$99,MATCH(B7,main!$B$79:$B$99,-1),2)</f>
        <v>97.9</v>
      </c>
      <c r="G7" s="114">
        <f>INDEX(main!$B$79:$C$99,MATCH(B7,main!$B$79:$B$99,-1)+1,2)</f>
        <v>80.37436492800002</v>
      </c>
      <c r="H7" s="114" cm="1">
        <f t="array" ref="H7">TREND(F7:G7,LOG10(D7:E7),LOG10(B7),TRUE)</f>
        <v>97.9</v>
      </c>
      <c r="I7" s="114">
        <f t="shared" si="0"/>
        <v>33.093291790127822</v>
      </c>
      <c r="J7" s="154">
        <f t="shared" si="1"/>
        <v>64.81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5.6899999999999997E-3</v>
      </c>
      <c r="E8" s="114">
        <f>INDEX(main!$B$79:$C$99,MATCH(B8,main!$B$79:$B$99,-1)+1,1)</f>
        <v>4.0800000000000003E-3</v>
      </c>
      <c r="F8" s="114">
        <f>INDEX(main!$B$79:$C$99,MATCH(B8,main!$B$79:$B$99,-1),2)</f>
        <v>34.97057704800001</v>
      </c>
      <c r="G8" s="114">
        <f>INDEX(main!$B$79:$C$99,MATCH(B8,main!$B$79:$B$99,-1)+1,2)</f>
        <v>30.140386848000002</v>
      </c>
      <c r="H8" s="114" cm="1">
        <f t="array" ref="H8">TREND(F8:G8,LOG10(D8:E8),LOG10(B8),TRUE)</f>
        <v>33.093291790127822</v>
      </c>
      <c r="I8" s="114">
        <f t="shared" si="0"/>
        <v>15.403963597945392</v>
      </c>
      <c r="J8" s="154">
        <f t="shared" si="1"/>
        <v>17.690000000000001</v>
      </c>
      <c r="K8" s="287" t="s">
        <v>138</v>
      </c>
      <c r="L8" s="164">
        <f>J9+J8</f>
        <v>33.090000000000003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1.24E-3</v>
      </c>
      <c r="E9" s="138">
        <f>INDEX(main!$B$79:$C$99,MATCH(B9,main!$B$79:$B$99,-1)+1,1)</f>
        <v>8.8000000000000003E-4</v>
      </c>
      <c r="F9" s="138">
        <f>INDEX(main!$B$79:$C$99,MATCH(B9,main!$B$79:$B$99,-1),2)</f>
        <v>16.615854288000001</v>
      </c>
      <c r="G9" s="138">
        <f>INDEX(main!$B$79:$C$99,MATCH(B9,main!$B$79:$B$99,-1)+1,2)</f>
        <v>14.683778208</v>
      </c>
      <c r="H9" s="138" cm="1">
        <f t="array" ref="H9">TREND(F9:G9,LOG10(D9:E9),LOG10(B9),TRUE)</f>
        <v>15.403963597945392</v>
      </c>
      <c r="I9" s="138">
        <f t="shared" si="0"/>
        <v>0</v>
      </c>
      <c r="J9" s="155">
        <f t="shared" si="1"/>
        <v>15.4</v>
      </c>
      <c r="K9" s="288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5" t="s">
        <v>132</v>
      </c>
      <c r="C12" s="286"/>
      <c r="D12" s="285" t="s">
        <v>121</v>
      </c>
      <c r="E12" s="286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14.683778208</v>
      </c>
      <c r="C13" s="141" t="e">
        <f>INDEX(main!$B$79:$C$99,MATCH(A13,main!$C$79:$C$99,-1)+1,2)</f>
        <v>#REF!</v>
      </c>
      <c r="D13" s="141">
        <f>INDEX(main!$B$79:$C$99,MATCH(A13,main!$C$79:$C$99,-1),1)</f>
        <v>8.8000000000000003E-4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30.140386848000002</v>
      </c>
      <c r="C14" s="141">
        <f>INDEX(main!$B$79:$C$99,MATCH(A14,main!$C$79:$C$99,-1)+1,2)</f>
        <v>24.344158608000001</v>
      </c>
      <c r="D14" s="141">
        <f>INDEX(main!$B$79:$C$99,MATCH(A14,main!$C$79:$C$99,-1),1)</f>
        <v>4.0800000000000003E-3</v>
      </c>
      <c r="E14" s="141">
        <f>INDEX(main!$B$79:$C$99,MATCH(A14,main!$C$79:$C$99,-1)+1,1)</f>
        <v>2.9399999999999999E-3</v>
      </c>
      <c r="F14" s="175" cm="1">
        <f t="array" ref="F14">IF(ISERROR(E14)=FALSE,ROUND(10^TREND(LOG10(D14:E14),B14:C14,A14),3),"---")</f>
        <v>4.0000000000000001E-3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63.951718248000013</v>
      </c>
      <c r="C15" s="141">
        <f>INDEX(main!$B$79:$C$99,MATCH(A15,main!$C$79:$C$99,-1)+1,2)</f>
        <v>57.189451968000014</v>
      </c>
      <c r="D15" s="141">
        <f>INDEX(main!$B$79:$C$99,MATCH(A15,main!$C$79:$C$99,-1),1)</f>
        <v>1.9859999999999999E-2</v>
      </c>
      <c r="E15" s="141">
        <f>INDEX(main!$B$79:$C$99,MATCH(A15,main!$C$79:$C$99,-1)+1,1)</f>
        <v>1.443E-2</v>
      </c>
      <c r="F15" s="175" cm="1">
        <f t="array" ref="F15">IF(ISERROR(E15)=FALSE,ROUND(10^TREND(LOG10(D15:E15),B15:C15,A15),3),"---")</f>
        <v>1.6E-2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57.189451968000014</v>
      </c>
      <c r="C16" s="178">
        <f>INDEX(main!$B$79:$C$99,MATCH(A16,main!$C$79:$C$99,-1)+1,2)</f>
        <v>49.461147648000008</v>
      </c>
      <c r="D16" s="178">
        <f>INDEX(main!$B$79:$C$99,MATCH(A16,main!$C$79:$C$99,-1),1)</f>
        <v>1.443E-2</v>
      </c>
      <c r="E16" s="178">
        <f>INDEX(main!$B$79:$C$99,MATCH(A16,main!$C$79:$C$99,-1)+1,1)</f>
        <v>1.086E-2</v>
      </c>
      <c r="F16" s="179" cm="1">
        <f t="array" ref="F16">IF(ISERROR(E16)=FALSE,ROUND(10^TREND(LOG10(D16:E16),B16:C16,A16),3),"---")</f>
        <v>1.0999999999999999E-2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31" zoomScaleNormal="100" zoomScaleSheetLayoutView="100" workbookViewId="0">
      <selection activeCell="C39" sqref="C39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0" t="s">
        <v>45</v>
      </c>
      <c r="G8" s="290" t="str">
        <f>main!G8</f>
        <v>NE-003 (28+5B) MULTISTORIED COMMERCIAL BUILDING</v>
      </c>
      <c r="H8" s="290"/>
      <c r="I8" s="290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0"/>
      <c r="G9" s="290"/>
      <c r="H9" s="290"/>
      <c r="I9" s="290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60"/>
      <c r="G10" s="290"/>
      <c r="H10" s="290"/>
      <c r="I10" s="290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60"/>
      <c r="G11" s="290"/>
      <c r="H11" s="290"/>
      <c r="I11" s="290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91" t="s">
        <v>100</v>
      </c>
      <c r="G13" s="290" t="str">
        <f>main!G13</f>
        <v>ASTM D422, D854, D1140, D6913, D7928</v>
      </c>
      <c r="H13" s="290"/>
      <c r="I13" s="290"/>
    </row>
    <row r="14" spans="1:9" x14ac:dyDescent="0.25">
      <c r="A14" s="98" t="s">
        <v>102</v>
      </c>
      <c r="B14" s="89"/>
      <c r="C14" s="106"/>
      <c r="D14" s="292" t="str">
        <f>main!D14</f>
        <v>Red Silty Clay</v>
      </c>
      <c r="E14" s="292"/>
      <c r="F14" s="291"/>
      <c r="G14" s="290"/>
      <c r="H14" s="290"/>
      <c r="I14" s="290"/>
    </row>
    <row r="15" spans="1:9" ht="15.5" x14ac:dyDescent="0.35">
      <c r="B15" s="81"/>
      <c r="C15" s="23"/>
      <c r="D15" s="292"/>
      <c r="E15" s="292"/>
      <c r="G15" s="1"/>
    </row>
    <row r="16" spans="1:9" ht="17.25" customHeight="1" x14ac:dyDescent="0.25">
      <c r="A16" s="289" t="s">
        <v>95</v>
      </c>
      <c r="B16" s="289"/>
      <c r="C16" s="289"/>
      <c r="D16" s="289"/>
      <c r="E16" s="289"/>
      <c r="F16" s="289"/>
      <c r="G16" s="289"/>
      <c r="H16" s="289"/>
      <c r="I16" s="289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4.0000000000000001E-3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2.1</v>
      </c>
      <c r="D39" s="143" t="s">
        <v>125</v>
      </c>
      <c r="E39" s="143" t="s">
        <v>137</v>
      </c>
      <c r="F39" s="145">
        <f>'Some Calculations'!F15</f>
        <v>1.6E-2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64.81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33.090000000000003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1.0999999999999999E-2</v>
      </c>
      <c r="D42" s="182" t="s">
        <v>8</v>
      </c>
      <c r="E42" s="143" t="s">
        <v>151</v>
      </c>
      <c r="F42" s="143"/>
      <c r="G42" s="144"/>
      <c r="H42" s="143">
        <f>main!GS</f>
        <v>2.71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2022-01-15T06:29:43Z</dcterms:modified>
</cp:coreProperties>
</file>